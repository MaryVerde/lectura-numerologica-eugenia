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Usuario\Desktop\Anarit\Otros\21. Numerologia\Plantillas Consultas\"/>
    </mc:Choice>
  </mc:AlternateContent>
  <xr:revisionPtr revIDLastSave="0" documentId="13_ncr:1_{D68C3CF1-70F5-4337-93E5-C9FDBAD27CC0}" xr6:coauthVersionLast="47" xr6:coauthVersionMax="47" xr10:uidLastSave="{00000000-0000-0000-0000-000000000000}"/>
  <bookViews>
    <workbookView xWindow="-110" yWindow="-110" windowWidth="22620" windowHeight="13500" firstSheet="9" activeTab="12" xr2:uid="{BF81C546-1478-4276-8C88-31549A7B3D8B}"/>
  </bookViews>
  <sheets>
    <sheet name="Mision" sheetId="1" r:id="rId1"/>
    <sheet name="Sendero Natal" sheetId="2" r:id="rId2"/>
    <sheet name="Animal Espiritual 1" sheetId="3" r:id="rId3"/>
    <sheet name="Animal Espiritual 2" sheetId="4" r:id="rId4"/>
    <sheet name="Dia de Nacimiento" sheetId="5" r:id="rId5"/>
    <sheet name="Primer Tarot" sheetId="48" r:id="rId6"/>
    <sheet name="Segundo Tarot" sheetId="50" r:id="rId7"/>
    <sheet name="Salud y Espiritu 1" sheetId="51" r:id="rId8"/>
    <sheet name="Salud y Espiritu 2" sheetId="52" r:id="rId9"/>
    <sheet name="Arquetipo de Amante" sheetId="53" r:id="rId10"/>
    <sheet name="Vincular" sheetId="54" r:id="rId11"/>
    <sheet name="Leccion de Vida" sheetId="6" r:id="rId12"/>
    <sheet name="Primer Desafio" sheetId="7" r:id="rId13"/>
    <sheet name="Segundo Desafio" sheetId="8" r:id="rId14"/>
    <sheet name="Don Divino" sheetId="9" r:id="rId15"/>
    <sheet name="Nro de Raiz" sheetId="10" r:id="rId16"/>
    <sheet name="Esencia" sheetId="11" r:id="rId17"/>
    <sheet name="Imagen" sheetId="12" r:id="rId18"/>
    <sheet name="Destino" sheetId="13" r:id="rId19"/>
    <sheet name="Proviene Destino" sheetId="14" r:id="rId20"/>
    <sheet name="Nro Letras Nombre" sheetId="15" r:id="rId21"/>
    <sheet name="Caracteristicas Vida" sheetId="16" r:id="rId22"/>
    <sheet name="Nro Hereditario" sheetId="17" r:id="rId23"/>
    <sheet name="Talento" sheetId="18" r:id="rId24"/>
    <sheet name="Estado Espiritual" sheetId="19" r:id="rId25"/>
    <sheet name="Desafio Intimo" sheetId="20" r:id="rId26"/>
    <sheet name="Desafio de Realizacion" sheetId="21" r:id="rId27"/>
    <sheet name="Desafio de Expresion" sheetId="22" r:id="rId28"/>
    <sheet name="Nro de Expresion" sheetId="23" r:id="rId29"/>
    <sheet name="Potencial" sheetId="24" r:id="rId30"/>
    <sheet name="Año Personal" sheetId="25" r:id="rId31"/>
    <sheet name="Digito de la Edad" sheetId="26" r:id="rId32"/>
    <sheet name="Primera Etapa" sheetId="27" r:id="rId33"/>
    <sheet name="Segunda Etapa" sheetId="28" r:id="rId34"/>
    <sheet name="Tercera Etapa" sheetId="29" r:id="rId35"/>
    <sheet name="Cuarta Etapa" sheetId="30" r:id="rId36"/>
    <sheet name="Enero" sheetId="31" r:id="rId37"/>
    <sheet name="Febrero" sheetId="32" r:id="rId38"/>
    <sheet name="Marzo" sheetId="33" r:id="rId39"/>
    <sheet name="Abril" sheetId="35" r:id="rId40"/>
    <sheet name="Mayo" sheetId="34" r:id="rId41"/>
    <sheet name="Junio" sheetId="36" r:id="rId42"/>
    <sheet name="Julio" sheetId="37" r:id="rId43"/>
    <sheet name="Agosto" sheetId="38" r:id="rId44"/>
    <sheet name="Septiembre" sheetId="39" r:id="rId45"/>
    <sheet name="Octubre" sheetId="40" r:id="rId46"/>
    <sheet name="Noviembre" sheetId="41" r:id="rId47"/>
    <sheet name="Diciembre" sheetId="42" r:id="rId48"/>
    <sheet name="Tarot Año" sheetId="43" r:id="rId49"/>
    <sheet name="Tarot 1er Cuat" sheetId="44" r:id="rId50"/>
    <sheet name="Tarot 2do Cuat" sheetId="45" r:id="rId51"/>
    <sheet name="Tarot 3er Cuat" sheetId="46" r:id="rId5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42" l="1"/>
  <c r="B12" i="42"/>
  <c r="B11" i="42"/>
  <c r="B10" i="42"/>
  <c r="B9" i="42"/>
  <c r="B8" i="42"/>
  <c r="B7" i="42"/>
  <c r="B6" i="42"/>
  <c r="B5" i="42"/>
  <c r="B4" i="42"/>
  <c r="B3" i="42"/>
  <c r="B13" i="41"/>
  <c r="B12" i="41"/>
  <c r="B11" i="41"/>
  <c r="B10" i="41"/>
  <c r="B9" i="41"/>
  <c r="B8" i="41"/>
  <c r="B7" i="41"/>
  <c r="B6" i="41"/>
  <c r="B5" i="41"/>
  <c r="B4" i="41"/>
  <c r="B3" i="41"/>
  <c r="B13" i="40"/>
  <c r="B12" i="40"/>
  <c r="B11" i="40"/>
  <c r="B10" i="40"/>
  <c r="B9" i="40"/>
  <c r="B8" i="40"/>
  <c r="B7" i="40"/>
  <c r="B6" i="40"/>
  <c r="B5" i="40"/>
  <c r="B4" i="40"/>
  <c r="B3" i="40"/>
  <c r="B13" i="39"/>
  <c r="B12" i="39"/>
  <c r="B11" i="39"/>
  <c r="B10" i="39"/>
  <c r="B9" i="39"/>
  <c r="B8" i="39"/>
  <c r="B7" i="39"/>
  <c r="B6" i="39"/>
  <c r="B5" i="39"/>
  <c r="B4" i="39"/>
  <c r="B3" i="39"/>
  <c r="B13" i="38"/>
  <c r="B12" i="38"/>
  <c r="B11" i="38"/>
  <c r="B10" i="38"/>
  <c r="B9" i="38"/>
  <c r="B8" i="38"/>
  <c r="B7" i="38"/>
  <c r="B6" i="38"/>
  <c r="B5" i="38"/>
  <c r="B4" i="38"/>
  <c r="B3" i="38"/>
  <c r="B13" i="37"/>
  <c r="B12" i="37"/>
  <c r="B11" i="37"/>
  <c r="B10" i="37"/>
  <c r="B9" i="37"/>
  <c r="B8" i="37"/>
  <c r="B7" i="37"/>
  <c r="B6" i="37"/>
  <c r="B5" i="37"/>
  <c r="B4" i="37"/>
  <c r="B3" i="37"/>
  <c r="B13" i="36"/>
  <c r="B12" i="36"/>
  <c r="B11" i="36"/>
  <c r="B10" i="36"/>
  <c r="B9" i="36"/>
  <c r="B8" i="36"/>
  <c r="B7" i="36"/>
  <c r="B6" i="36"/>
  <c r="B5" i="36"/>
  <c r="B4" i="36"/>
  <c r="B3" i="36"/>
  <c r="B13" i="35"/>
  <c r="B12" i="35"/>
  <c r="B11" i="35"/>
  <c r="B10" i="35"/>
  <c r="B9" i="35"/>
  <c r="B8" i="35"/>
  <c r="B7" i="35"/>
  <c r="B6" i="35"/>
  <c r="B5" i="35"/>
  <c r="B4" i="35"/>
  <c r="B3" i="35"/>
  <c r="B13" i="34"/>
  <c r="B12" i="34"/>
  <c r="B11" i="34"/>
  <c r="B10" i="34"/>
  <c r="B9" i="34"/>
  <c r="B8" i="34"/>
  <c r="B7" i="34"/>
  <c r="B6" i="34"/>
  <c r="B5" i="34"/>
  <c r="B4" i="34"/>
  <c r="B3" i="34"/>
  <c r="B13" i="33"/>
  <c r="B12" i="33"/>
  <c r="B11" i="33"/>
  <c r="B10" i="33"/>
  <c r="B9" i="33"/>
  <c r="B8" i="33"/>
  <c r="B7" i="33"/>
  <c r="B6" i="33"/>
  <c r="B5" i="33"/>
  <c r="B4" i="33"/>
  <c r="B3" i="33"/>
  <c r="B13" i="32"/>
  <c r="B12" i="32"/>
  <c r="B11" i="32"/>
  <c r="B10" i="32"/>
  <c r="B9" i="32"/>
  <c r="B8" i="32"/>
  <c r="B7" i="32"/>
  <c r="B6" i="32"/>
  <c r="B5" i="32"/>
  <c r="B4" i="32"/>
  <c r="B3" i="32"/>
  <c r="B13" i="31"/>
  <c r="B12" i="31"/>
  <c r="B11" i="31"/>
  <c r="B10" i="31"/>
  <c r="B9" i="31"/>
  <c r="B8" i="31"/>
  <c r="B7" i="31"/>
  <c r="B6" i="31"/>
  <c r="B5" i="31"/>
  <c r="B4" i="31"/>
  <c r="B3" i="31"/>
  <c r="B13" i="30"/>
  <c r="B12" i="30"/>
  <c r="B11" i="30"/>
  <c r="B10" i="30"/>
  <c r="B9" i="30"/>
  <c r="B8" i="30"/>
  <c r="B7" i="30"/>
  <c r="B6" i="30"/>
  <c r="B5" i="30"/>
  <c r="B4" i="30"/>
  <c r="B3" i="30"/>
  <c r="B13" i="29"/>
  <c r="B12" i="29"/>
  <c r="B11" i="29"/>
  <c r="B10" i="29"/>
  <c r="B9" i="29"/>
  <c r="B8" i="29"/>
  <c r="B7" i="29"/>
  <c r="B6" i="29"/>
  <c r="B5" i="29"/>
  <c r="B4" i="29"/>
  <c r="B3" i="29"/>
  <c r="B13" i="28"/>
  <c r="B12" i="28"/>
  <c r="B11" i="28"/>
  <c r="B10" i="28"/>
  <c r="B9" i="28"/>
  <c r="B8" i="28"/>
  <c r="B7" i="28"/>
  <c r="B6" i="28"/>
  <c r="B5" i="28"/>
  <c r="B4" i="28"/>
  <c r="B3" i="28"/>
  <c r="B13" i="27"/>
  <c r="B12" i="27"/>
  <c r="B11" i="27"/>
  <c r="B10" i="27"/>
  <c r="B9" i="27"/>
  <c r="B8" i="27"/>
  <c r="B7" i="27"/>
  <c r="B6" i="27"/>
  <c r="B5" i="27"/>
  <c r="B4" i="27"/>
  <c r="B3" i="27"/>
  <c r="B13" i="23"/>
  <c r="B12" i="23"/>
  <c r="B11" i="23"/>
  <c r="B10" i="23"/>
  <c r="B9" i="23"/>
  <c r="B8" i="23"/>
  <c r="B7" i="23"/>
  <c r="B6" i="23"/>
  <c r="B5" i="23"/>
  <c r="B4" i="23"/>
  <c r="B3" i="23"/>
  <c r="B12" i="22"/>
  <c r="B11" i="22"/>
  <c r="B10" i="22"/>
  <c r="B9" i="22"/>
  <c r="B8" i="22"/>
  <c r="B7" i="22"/>
  <c r="B6" i="22"/>
  <c r="B5" i="22"/>
  <c r="B4" i="22"/>
  <c r="B3" i="22"/>
  <c r="B12" i="21"/>
  <c r="B11" i="21"/>
  <c r="B10" i="21"/>
  <c r="B9" i="21"/>
  <c r="B8" i="21"/>
  <c r="B7" i="21"/>
  <c r="B6" i="21"/>
  <c r="B5" i="21"/>
  <c r="B4" i="21"/>
  <c r="B3" i="21"/>
  <c r="B12" i="20"/>
  <c r="B11" i="20"/>
  <c r="B10" i="20"/>
  <c r="B9" i="20"/>
  <c r="B8" i="20"/>
  <c r="B7" i="20"/>
  <c r="B6" i="20"/>
  <c r="B5" i="20"/>
  <c r="B4" i="20"/>
  <c r="B3" i="20"/>
  <c r="B11" i="19"/>
  <c r="B10" i="19"/>
  <c r="B9" i="19"/>
  <c r="B8" i="19"/>
  <c r="B7" i="19"/>
  <c r="B6" i="19"/>
  <c r="B5" i="19"/>
  <c r="B4" i="19"/>
  <c r="B3" i="19"/>
  <c r="B11" i="18"/>
  <c r="B10" i="18"/>
  <c r="B9" i="18"/>
  <c r="B8" i="18"/>
  <c r="B7" i="18"/>
  <c r="B6" i="18"/>
  <c r="B5" i="18"/>
  <c r="B4" i="18"/>
  <c r="B3" i="18"/>
  <c r="B11" i="17"/>
  <c r="B10" i="17"/>
  <c r="B9" i="17"/>
  <c r="B8" i="17"/>
  <c r="B7" i="17"/>
  <c r="B6" i="17"/>
  <c r="B5" i="17"/>
  <c r="B4" i="17"/>
  <c r="B3" i="17"/>
  <c r="B11" i="16"/>
  <c r="B10" i="16"/>
  <c r="B9" i="16"/>
  <c r="B8" i="16"/>
  <c r="B7" i="16"/>
  <c r="B6" i="16"/>
  <c r="B5" i="16"/>
  <c r="B4" i="16"/>
  <c r="B3" i="16"/>
  <c r="B26" i="15"/>
  <c r="B25" i="15"/>
  <c r="B24" i="15"/>
  <c r="B23" i="15"/>
  <c r="B22" i="15"/>
  <c r="B21" i="15"/>
  <c r="B20" i="15"/>
  <c r="B19" i="15"/>
  <c r="B18" i="15"/>
  <c r="B17" i="15"/>
  <c r="B16" i="15"/>
  <c r="B15" i="15"/>
  <c r="B14" i="15"/>
  <c r="B13" i="15"/>
  <c r="B12" i="15"/>
  <c r="B11" i="15"/>
  <c r="B10" i="15"/>
  <c r="B9" i="15"/>
  <c r="B8" i="15"/>
  <c r="B7" i="15"/>
  <c r="B6" i="15"/>
  <c r="B5" i="15"/>
  <c r="B4" i="15"/>
  <c r="B3" i="15"/>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B14" i="2"/>
  <c r="B13" i="2"/>
  <c r="B12" i="2"/>
  <c r="B11" i="2"/>
  <c r="B10" i="2"/>
  <c r="B9" i="2"/>
  <c r="B8" i="2"/>
  <c r="B7" i="2"/>
  <c r="B6" i="2"/>
  <c r="B5" i="2"/>
  <c r="B4" i="2"/>
  <c r="B3" i="2"/>
  <c r="B2" i="2"/>
</calcChain>
</file>

<file path=xl/sharedStrings.xml><?xml version="1.0" encoding="utf-8"?>
<sst xmlns="http://schemas.openxmlformats.org/spreadsheetml/2006/main" count="2162" uniqueCount="1437">
  <si>
    <t>Numero</t>
  </si>
  <si>
    <t>Titulo</t>
  </si>
  <si>
    <t>Resumen</t>
  </si>
  <si>
    <t>Tu influencia natal es 1</t>
  </si>
  <si>
    <t xml:space="preserve">EL PRIMERO, EL UNICO, EL AS, EL LIDER…
Es en ésta energía en donde todo comienza. Ya que todo comienza en una idea (voy a ponerme a dieta, voy a dejar de fumar, etc…) en nuestra mente, sin ser esto garantía de que vayamos a hacerlo definitivamente. De momento es sólo una idea, y todas las ideas nacen en nuestra mente… Por eso decimos que una persona bajo la vibración del 1 es inteligente, repleta de ideas, con una mente en continuo movimiento, nervios, impaciencia, capacidad de empezar muchas cosas pero quizás no terminar ninguna. El número uno pone pasión en todo aquello que descubre, pero, al igual que la gaseosa, puede perder la fuerza en seguida… Algo volátil, cambiante, hoy ama con intensidad algo y mañana…no sabemos qué es lo que amará. Su reto en ésta vida es terminar aquello que empieza, utilizar su mente pensante para sí mismo y para los demás, huir de la monotonía y la rutina, pues necesita cambios frecuentes, sentirse libre, experimentar…
Todo aquello que requiere un compromiso a largo plazo (matrimonio, trabajo fijo…) puede suponer un esfuerzo monumental, pues no desean sentirse prisioneros ni atados a nada ni nadie. La mayor dificultad la encontrarán en el Amor, pues aunque se enamoran con facilidad y gran pasión, pueden enfriarse prontamente, y una relación estable estancada, rutinaria o monótona puede ahogarles. Desean experimentar, vivir experiencias, flirtear y coquetear con frecuencia, gustar,… y sin ese juego se marchitan igual que una flor… Exigen de su pareja aquello que no permiten que les exijan a ellos… son celosos, por un lado porque temen que su pareja hagan lo mismo que hacen ellos, y por otro lado porque los número 1 tienen mucho ego, pero no autoestima, buscan el reconocimiento a través de los demás, necesitando continuamente que les digan lo hermosos que son, lo bien que lo hacen todo,… Si un cumplido es sincero, será muy bien agradecido y muy bien recompensado por la persona 1 que lo recibe.
Aconsejan, ordenan y critican, pero detestan que lo hagan con ellas o que las contradigan. Buscan el respeto y habitualmente lo consiguen. Protegen a los débiles, defienden a los indefensos y toman sobre si la carta de los otros, siempre que los otros hagan exactamente lo que la persona 1 indica, ya que saben mas que los demás y consideran que sus opiniones son superiores o sino perfectas. Lo que casi siempre tienen razón, lo cual fastidia a la persona que sermonean.
El orgullo es su punto más débil, cuando se le hiere en el amor propio, pierden todas sus virtudes. Pero también pueden ser peligrosos cuando se los pasan por alto. Y es sabido que cuando se enfrenta a un 1, no hay posibilidad de ganarle, y uno solo, es el camino a seguir, inclinar la cabeza y pedir disculpas.
No gusta de los desconocidos, pero es fiel guardián y afectuoso con aquellos en quienes deposita su amor y su confianza. 
Si tiene tendencia negativa, debe estar atento de no ser perezoso, cínico o excesivamente soñador
Un mito o una leyenda en las personas 1. Es que suelen albergar cierta tristeza relacionada con un niño.
EL 1 VIBRA BAJO EL SIGNO DE LEO, SU PLANETA ES EL SOL Y ESTA REPRESENTADO POR EL MAGO EN EL TAROT EGIPCIO.
LA VIBRACION 1 AVECES SE OPONE A LOS MOTIVOS DE LEO. Y ARMONIZA CON LA PERSONALIDAD DE ARIES, SAGITARIO, GEMINIS O LIBRA
No debemos olvidar que el 1 es solo una vibración en la personalidad, que puede vibrar con más o menos intensidad pero siempre esta presente. Y de uno depende el uso que le da, ya que la vida y el destino de uno se forja por uno mismo
Los Aspectos que suelen vibrar positivamente en un 1 son: Actividad, liderazgo, independencia o fuerza.
Los Aspectos que suelen vibrar negativamente en un 1 son: Pereza, miedo, soledad, inestabilidad, egoísmo, obstinación o fanfarronería.
Los Aspectos que suelen vibrar destructivamente en un 1 son: Antagonismo, tiranía, dominación, manipulación o matonismo.
</t>
  </si>
  <si>
    <t>Tu influencia natal es 2</t>
  </si>
  <si>
    <t xml:space="preserve">LA DUALIDAD Y LA PACIENCIA
LA LUNA Y EL SOL – EL DIA Y LA NOCHE – EL PRINCIPIO Y EL FIN – LO BUENO Y LO MALO – LA LUZ Y LA OSCURIDAD – LA VIDA Y LA MUERTE – LA TRISTEZA Y LA ALEGRIA – EL CIELO Y LA TIERRA – EL HOMBRE Y LA MUJER… TODO PRINCIPIO DE EXISTENCIA Y DE EQUILIBRIO SIEMPRE VIENE DE A DOS. (Sin tristezas no se conoce lo que es ser feliz, sin la oscuridad no se aprecia la luz, sin un principio el fin no existiría, sin vida no habría muerte, SIN LA LUZ DEL SOL Y EL BRILLO DE LA LUNA TODA EXISTENCIA EN LA TIERRA DESAPARECERIA)
Llegamos al primer número PAR, y en la Numerología, así como los números Impares traen movimiento y cambios, los números PARES son mucho más Fijos, Estables y Quietos. Así que si tú número de nacimiento es el DOS, no serás persona deseosa de grandes cambios en tu vida, sino todo lo contrario… Una búsqueda de Tranquilidad y Estabilidad. Como vibración, el 2 rige la PACIENCIA, don que no tienes de nacimiento y tendrás que desarrollar. Basta que un dos desee algo para que esto se haga esperar… lo dicho, PACIENCIA…
Es una vibración sensible, buena, que antepone la felicidad de los demás a la suya propia. Siempre pensando en ayudar a que los demás sean felices.
Es un número con tendencia a los Miedos, en la mayoría de los casos relacionados con la Falta de Autoestima. Así que corren el peligro de estancarse, engancharse a relaciones o compromisos que no les hacen felices pero sin sentirse capaces de dar el paso a cambiar. Deben superar sus miedos, y la única forma de superar un miedo es enfrentándolo cuanto antes. Demorarlo sólo sirve para sufrir la agonía dos veces, primero de la espera y segundo de hacerlo…
El número dos tiene que aprender a hablar desde el corazón, dejar de reprimir sus emociones y sentimientos.
En el Amor, sufrirán mucho por celos generados por la falta de confianza en sí mismos, pues siempre piensan que hay alguien mejor… Tienen que quererse, gustarse, amarse a si mismos antes de amar a los demás…
Y cuidar no caer en las obsesiones. Cualquier probabilidad de cambio que no esperen o controlen les crea auténtica angustia.
Aman el dinero, pero les gusta acumularlos de un modo seguro y sin riesgo. Y es rara la persona 2 que falte de dinero.
Excelentes amigos, buena pareja, buen padre o madre… de comportamiento intachable, con tendencia a la culpa y al auto-castigo, deben aprender a relajarse y aceptarse tal como son.
No saben estar solos ni quieren aprender, necesitando siempre el arropo familiar y sentimental de su pareja e hijos.
Faltos de capacidad para relacionarse con los demás por una timidez innata, corren el riesgo de aburrirse sobre manera en la vida… Tienen que aprender a tener paciencia, disfrutar el cambio, quererse, superar sus miedos, dejar las obsesiones y hablar desde el corazón…
Además estas personas necesitan de un hogar base, ya que a muchas les encanta viajar y conocer lugares nuevos, (siempre y cuando sus finanzas lo permitan), pero siempre necesitan la seguridad de un hogar, a donde regresar.
El numero dos, posee la habilidad de descubrir cualquier secreto ajeno, pero nunca revelar los propios. Además el 2 siempre se hace notar en la vida de la persona dos, puede ir de: estar muy triste a muy alegre o necesitar pensar las cosas dos veces, o gustarle tirar una moneda al aire para saber cuales de las dos caras, pero es muy probable que la tire dos veces.
Un mito o leyenda sobre las personas dos, es que en su niñez siempre suelen tener amigos imaginarios, por  lo cual muchos creen que el 2, es uno de los números, que brinda el don de la psiquis. RECUERDA: QUE OTROS NO LO PODAMOS VER, NO QUIERE DECIR QUE NO EXISTA, ¡COMO UN BILLON DE DOLARES! AUNQUE MAS VALIOSO
EL 2 VIBRA BAJO EL SIGNO DE CANCER, SU PLANETA ES LA LUNA Y ESTA REPRESENTADO POR LA PAPISA EN EL TAROT EGIPCO.
LA VIBRACION 2 INTENSIFICA LA PERSONALIDAD DE CANCER Y ARMONIZA CON LA DE ESCORPIO, PISCIS VIRGO Y TAURO
No debemos olvidar que el 2 es solo una vibración en la personalidad, que puede vibrar con más o menos intensidad pero siempre esta presente. Y de uno depende el uso que le da, ya que la vida y el destino de uno se forja por uno mismo.
Los Aspectos que suelen vibrar positivamente en un 2 son: Diplomacia, cooperación, armonía o servicio.
Los Aspectos que suelen vibrar negativamente en un 2 son: Timidez, falta de tacto, hipersensibilidad, vacilación o sometimiento
Los Aspectos que suelen vibrar destructivamente en un 2 son: Crueldad, cobardía, ira o decepción 
</t>
  </si>
  <si>
    <t>Tu influencia natal es 3</t>
  </si>
  <si>
    <t xml:space="preserve">LA BUSQUEDA, EL HALLAZGO Y LA CREACION
La Familia: “PADRE, MADRE E HIJO” o mejor conocida como La Santísima Trinidad
JESÚS SE PIERDE A LOS 12 AÑOS DE EDAD (1+2 =“TRES”), Y ES ENCONTRADO A LOS 30 AÑOS DE EDAD (3+0=“TRES”). 12 SON SUS APÓSTOLES (1+2=”TRES”), “TRES” SON LOS MAGOS QUE ACUDEN A SU NACIMIENTO, “TRES” SON LAS PERSONAS CRUCIFICADAS.  “TRES” SON LAS ACCIONES QUE DESCRIBEN SU MUERTE “FUE CRUCIFICADO, MUERTO Y SEPULTADO”, SUFRIO “TRES” HS EN LA CRUZ. AL “TERCER” DÍA RESUCITA ENTRE LOS MUERTOS. PEDRO ES ADVERTIDO QUE AL CANTAR EL GALLO EL LO HABRÍA DE NEGAR “TRES” VECES,… 
En el TRES viven y conviven, las personas más sociables, habladoras y creativas que podemos conocer. En el tres viene la Belleza, la Estética y por eso serán personas coquetas, gustosas del arreglo y la coquetería, y con mayor tendencia a los “arreglillos estéticos”, las dietas, etc…
Es un número de facultades creativas y plásticas, encontrando en la pintura, la danza, la interpretación, las artes manuales,… un enorme éxito.
Son personas tímidas por naturaleza, muy reservadas, aunque nadie lo sospechará nunca, pues son habladores, casi charlatanes con todo el mundo, que parecen (y digo parecen) hacer amigos en seguida. Sin embargo el tres es el mejor “actor” de todos, esconde sus emociones, pensamientos y sentimientos, se sienten muy vulnerables y por todo esto, puedes hablar toda la vida con TRES y seguir siendo un auténtico DESCONOCIDO.
Gustan de los cambios, pero pequeños y bajo control. El ocio y la diversión, las relaciones con los demás, los cursillos, excursiones, viajes cortos,… son la sal de su vida y sin todo esto se marchitan y mueren…
Necesitan de parejas, amigos y familiares que les permitan su espacio, su libertad, y no sentirse bajo el peso del control continúo. Son muy independientes, pero todo esto nunca les hace irresponsables. Todo lo contrario, cumplen con su trabajo y obligaciones SIEMPRE, pero con rapidez y eficacia para que les quede tiempo a sus aficiones y hobbies.
Apuntan hacia la verdad y solo la verdad puede satisfacerlos, ya sea que busquen la verdad de una relación amorosa, una amistad, una carrera, la política o la religión. Ya que poseen la habilidad de detectar una mentira a kilómetros de distancia.
Tienden a ser muy optimistas, Y debido a la íntima relación del tres con la religión cristiana, los tres tiene muy bien establecido cual es su relación con la misma, (Ateo, agnóstico o devoto). Pero nunca pasa desapercibida para ellos.
Los tres tienden muchas veces a ser deportistas, y al ser un número activo, se podría decir que el deporte forma parte importante en su vida, sino es así recurren a cualquier forma de expresión artística.
Suelen ser francos y directos, a tal punto que les juega en contra la manera chocante de decir las cosas. Odian la falta de sinceridad por ellos son muy adeptos, a los animales, las plantas o los niños, ya que ellos son incapaces de mentir o engañar, además de su instinto protector claro esta, de querer cuidar y proteger al débil.
La educación es importante para los tres, a tal punto que si se le niega por algún motivo, quedan marcados por mucho tiempo y es una cicatriz difícil de curar. Son excelentes abogados y asesores.
La maternidad/paternidad viene en éste número, así como los asuntos relacionados con los niños. Así que siempre necesitarán tener hijos, pero corren el riesgo de ser madres o padres excesivamente controladores u obsesivos.
Deben aprender a encontrar el equilibrio, desarrollar sus facultades de interpretación, estética y artes plásticas, dejarse conducir por su intuición, abrirse al exterior dando a conocer sus emociones y cuidarse de no caer en chismes o habladurías.
Un mito o leyenda sobre las personas tres es que tiene la facultad innata para conectar con el más allá, y por tanto es en ésta vibración donde encontramos mayor número de videntes. Pueden desarrollar ésta capacidad, pues su intuición es poderosa.
EL TRES VIBRA BAJO EL SIGNO SOLAR DE SAGITARIO, SU PLANETA ES JUPITER Y ESTA REPRESENTADO POR LA EMPERATRIZ EN EL TAROT EGIPCIO.
LA VIBRACION 3 INTENSIFICA LA PERSONALIDAD DE SAGITARIO Y ARMONIZA CON LA DE ARIES, LEO, ACUARIO Y LIBRA
No debemos olvidar que el 3 es solo una vibración en la personalidad, que puede vibrar con más o menos intensidad pero siempre esta presente. Y de uno depende el uso que le da, ya que la vida y el destino de uno se forja por uno mismo.
Los Aspectos que suelen vibrar positivamente en un 3 son: Optimismo, humor, auto expresión o sociabilidad 
Los Aspectos que suelen vibrar negativamente en un 3 son: Chusmerio, pesimismo, extravagancia, represión, falso orgullo o baja expresividad.
Los Aspectos que suelen vibrar destructivamente en un 3 son: Intolerancia, celos excesivos, hipocresía, engaño o avaricia.
</t>
  </si>
  <si>
    <t>Tu influencia natal es 4</t>
  </si>
  <si>
    <t xml:space="preserve">REALIZACION, PACIENCIA, ORDEN Y TRABAJO
“CUATRO” SON LOS PUNTOS CARDINALES, “CUATRO” SON LA ESTACIONES, “CUATRO” LOS ELEMENTOS,… TODO SE CONCRETA Y TOMA FORMA EN UN CUATRO.
Estamos en la vibración más controladora de todos, de nuevo en número PAR y por tanto, los cambios… justos y necesarios y… siempre que estén bajo control. Porque un CUATRO necesita tener el control de su vida en todo momento. No importa cuán difícil sea su realidad. Tienen la capacidad de trabajo, esfuerzo, organización y análisis necesario para salir airosos de cualquier situación, pero necesitan saberlo TODO, saber a qué atenerse en cada momento…
La incertidumbre les hace enloquecer, no soportan las ambigüedades ni las medias tintas, son un número con vibración bastante extrema. Si aman, lo hacen intensamente, pero si dejan de amar,… punto y final, no queda nada sobre lo que construir.
Gustan del TRABAJO, que nunca les faltará, del ORDEN en su hogar y en todas sus parcelas de la vida.
A lo largo de su vida irán aprendiendo que nada hay más incontrolable que la misma vida, e irán aprendiendo a disfrutarla, trabajando menos para el jefe, para la casa o la familia y más para ellos mismos.
Gustan del compromiso a largo plazo, de estructuras firmes y sólidas, y cuando encuentran una pareja, una casa o unos amigos, lo desean para toda la vida.
Querer controlarlo todo puede convertirles en manipuladores de los demás, aunque no tengan esa intención, así como su afán de ayudar a los demás y de poner orden en la vida ajena les lleva a meterse demasiado en asuntos ajenos… Les perdonamos, porque nunca lo hacen con mala intención. Simplemente se sienten necesarios aunque no les pidan ayuda, y por eso se meten en todas partes, casas y vidas…
Es una vibración fría, al menos en aspecto… cuando conocemos a un cuatro transmiten dureza, rigidez y frialdad, pues no se les da muy bien expresar cariños ni afectos… pero cuando se les llega a conocer, como número par que son, descubrimos bondad, deseo de ayuda y de hacer felices a los demás.
En la vida tendrán que aprender a disfrutar del factor sorpresa, disfrutar con los cambios aunque sean imprevistos, trabajar menos para los demás y más para ellos mismos. Aprender a dar y recibir amor. Crear estructuras firmes para el futuro.
La persona cuatro, rara vez es comprendida por sus amigos y familiares, constituyen un enigma para cuantos las conocen. Una marcada individualidad colorea todo sus pensamientos y actos. SI HAY UN MODO DIFERENTE DE HACER ALGO, LA PERSONA CUATRO LO ENCONTRARA.
Los cuatro al igual que el signo que representan (Acuario) viven en el futuro, siempre están un paso adelante, sobre todo en sus ideas e ideales, son denominados genios, ya que sus cerebro rara vez suele descansar o mejor dicho “Genios locos” que cuando algo les interesa o le llama la atención no paran hasta desarmarlo por completo y descubrir cuales son sus secretos, lo que hace que muchas veces se desilusionen, porque lo que vieron como complejo e interesante resulto ser muchos menos. 
Suelen mostrarse muy tercos, cuando alguien trata de darles órdenes o modelarlos según su patrón social.
El dinero nunca es el fin primario de un cuatro, ya que no prestan atención a cuanto lo rodean ni al valor de las cosas dado por el común de la gente. Lo que lo hace también distraído, olvida cosas, nombres, fechas y demás… salvo que para un cuatro sea importante.
La mejor virtud de un cuatro, es el de vivir y dejar vivir. Si bien puede meterse en la vida de todos intentando ayudar, siempre van a terminar aceptando que los demás hagan lo que quieran de su vida, siempre y cuando lo dejen hacer al cuatro lo que el quiera de la suya. 
Un mito o una leyenda sobre las personas 4 es que vinieron a este mundo a cuidar, ayudar y a proteger a su “yo gemelo” que se encuentra representado por el “8” en numerología o por “capricornio” en astrología. Estos dos números se atraen poderosamente, así como atraen a su vida todo lo relacionado a un 4 o 8. (El acuariano o el 4 le da la firmeza y el equilibrio al 8 o el capricorniano que lo esta necesitando)
Ej. Si sumas y reducís a un número: Tu dirección, DNI, miembros en tu familia, fechas importante,… este será un 4 o un 8,… y si sos un 4 de seguro buscaras y te encontraras con muchos 4 y 8 que rigen tu vida y la vida de tu ser querido (“Tu yo gemelo”). Pero cuidado que no siempre son números agraciados, ya que recuerda el 4 vino a ayudar y a proteger al “8” y no se protege o ayuda de la suerte o la dicha. Por eso el cuatro representa al trabajo o mejor dicho al esfuerzo que este lleva y sobre todo la paciencia. 
EL CUATRO VIBRA BAJO EL SIGNO SOLAR DE ACUARIO, SU PLANETA ES URANO Y ESTA REPRESENTADO POR EL EMPERADOR EN EL TAROT EGIPCIO.
LA VIBRACION 4 INTENSIFICA LA PERSONALIDAD DE ACUARIO Y ARMONIZA CON LA DE GEMINIS, LIBRA, ARIES Y SAGITARIO
No debemos olvidar que el 4 es solo una vibración en la personalidad, que puede vibrar con más o menos intensidad pero siempre esta presente. Y de uno depende el uso que le da, ya que la vida y el destino de uno se forja por uno mismo.
Los Aspectos que suelen vibrar positivamente en un 4 son: Honestidad, paciencia, economía, organización, empeño o lealtad.
Los Aspectos que suelen vibrar negativamente en un 4 son: Estrechez mental, rigurosidad, dureza o restricción.
Los Aspectos que suelen vibrar destructivamente en un 4 son: Odio, vulgaridad, violencia, crueldad, celos, antagonismo.
</t>
  </si>
  <si>
    <t>Tu influencia natal es 5</t>
  </si>
  <si>
    <t xml:space="preserve">LA LIBERTAD, EL CAMBIO, LAS EXPERIENCIAS, LA BUSQUEDA…
“CINCO” SON LOS DEDOS EN PIES Y MANOS, “CINCO SON LOS SENTIDOS”,… “CINCO” ES EL PRIMERO DE LOS NUMEROS MAGICOS (5,7 Y 9)… Ya que el cinco se encuentra en la mitad de los 9 números y se encuentra íntimamente relacionado con ellos.
1 2 3
4 5 6
7 8 9
El CINCO es el número de la Libertad, las Experiencias, el Cambio, el Sexo… nos hacemos ya una idea de cómo son… verdad?
Gustosos de sentirse libres, tienen serias dificultades con todo lo que significa un compromiso a largo plazo, como el Matrimonio o un Trabajo Fijo… les cuesta echar raíces. Necesitan sentir que tienen su espacio, viajar, divertirse, relacionarse y experimentar…
Al igual que los número 1, corren el riesgo de dispersarse, porque querrán hacer muchas cosas a la vez. Tienen que aprender a terminar aquellas cosas que empiezan.
Es un número que favorece la Infidelidad, pero no es una cuestión inmoral, sino una necesidad de vivir experiencias distintas, gustar y ser gustados, coquetear… vivir experiencias diferentes en la sexualidad (incluso bisexualidad).
Gustan de los cambios frecuentes, y si no gustan de ellos, mal, pues en su vida encontrarán cambios bruscos. 
Hasta no encontrar su auténtica vocación, la vida les llevará a dar cambios drásticos de profesión/estudios…
En el Amor, para obtener el éxito, primero tienen que superar su temor al compromiso, y después, encontrar esa persona con la cual divertirse y experimentar. Nada de parejas ni amigos aburridos, monótonos, controladores o celosos…
En el fondo, necesitan centrarse, sentir que forman parte de algo estable y firme, para no ir dando tumbos por la vida, pero les costará aceptarlo y dar el paso a conseguirlo.
Pueden mostrar caracteres distintos según el momento, lugar o persona que tienen. En ocasiones románticos, en ocasiones fríos, apasionados o apáticos, sexualmente muy activos o en períodos de impotencia… extremos de nuevo, que tienen que aprender a controlar, encontrar el equilibrio.
Al igual que un número TRES, temen mostrarse tal y como son, les cuesta ser sinceros, esconden sus sentimientos, y tendrán que aprender a hablar desde el corazón.
Temen discutir, no gustan de los altercados ni los debates, les gusta pensar a su aire y que los demás lo hagan, pero sin imposiciones, sin rigidez en las ideas, y ante una acalorada discusión, prefieren callar y, si es posible…HUIR…porque no les gustan los problemas, no gustan de tener que afrontarlos.
Tendrán que aprender a ser sinceros, a amar y ser amados, expresar sus emociones, aceptar los compromisos, enfrentar los problemas sin huir de ellos, encontrar la felicidad en la fidelidad y estabilidad y todo eso consiguiendo mantener su espacio y su sensación de libertad, viajar y vivir experiencias nuevas.
Son espontáneos y corteses y con un gran encanto natural, saben detectar fallas y errores con celeridad y no vacilan en señalarlos.
Existe una tendencia a analizar a las personas y las situaciones. A la persona cinco le cuesta someterse a los sentimientos y a la intuición. Ya que al 5 se le atribuye a la vibración del intelecto, nada se le escapa y son sumamente brillantes, sobre todo si han encontrado su verdadera vocación.
Un mito o una leyenda sobre las personas 5 es que están asociados con lo que se llama “magia de la tierra”. Curiosamente, el numero 5 otorga ansias por creer en la magia, en duendes, hadas y el misterio de la naturaleza, junto con la necesidad de clasificarlo todo y ponerlo bajo el microscopio mental, dos cualidades que están en polaridad directa ESTO HACE QUE A ELLOS MISMOS LES CUESTE ENTENDERSE.
EL CINCO VIBRA BAJO EL SIGNO SOLAR DE VIRGO O GEMINIS, SU PLANETA ES MERCURIO Y ESTA REPRESENTADO POR EL PAPA EN EL TAROT EGIPCIO.
LA VIBRACION 5 INTENSIFICA LA PERSONALIDAD DE VIRGO Y GEMINIS Y DEBIDO A SU NATURALEZA CAMBIANTE PUEDE ARMONIZAR O CONTRASTAR LA DE ARIES, TAURO, CANCER, LEO, LIBRA, ESCORPIO, CAPRICORNIO Y ACUARIO
No debemos olvidar que el 5 es solo una vibración en la personalidad, que puede vibrar con más o menos intensidad pero siempre esta presente. Y de uno depende el uso que le da, ya que la vida y el destino de uno se forja por uno mismo.
Los Aspectos que suelen vibrar positivamente en un 5 son: Libertad, cambio, viaje, aventura, progreso, liderazgo o versatilidad
Los Aspectos que suelen vibrar negativamente en un 5 son: Irreflexión, dilación, o irresponsabilidad
Los Aspectos que suelen vibrar destructivamente en un 5 son: Perversión, malevolencia, libertinaje, drogas o bebidas en exceso.
</t>
  </si>
  <si>
    <t>Tu influencia natal es 6</t>
  </si>
  <si>
    <t xml:space="preserve">EL AMOR, LA BELLEZA, “LA FAMILIA, LOS AMIGOS O LA SOCIEDAD”
EL 6 REPRESENTA A LOS ENAMORADOS, AL AMOR A LA FAMILIA, A LOS AMIGOS A LA SOCIEDAD,… LA BELLEZA QUE ENAMORA,… Y LA RESPONSABILIDAD QUE ESTO IMPLICA
Es el número del AMOR A LOS DEMAS Y DE LA RESPONSABILIDAD, así que no pueden dar la espalda a lo que será su camino en ésta vida, ayudar y servir a los demás. Por eso con frecuencia encontrarán el conflicto entre lo que DEBEN y lo que QUIEREN… lo cual es motivo de continua auto-culpa.
Tienen que aprender a encontrar el equilibrio. Por ayudar a los demás, no anularse a ellos mismos como personas, pero tampoco dejar que el EGO les lleve a abandonar la labor de atender a los demás, o serán muy infelices.
Cuando el 6 encuentra éste equilibrio aprende a ser feliz en ese servicio y en esos momentos de independencia.
Como número PAR no gusta de grandes cambios si éstos son imprevistos, pero si las circunstancias se lo permiten, sí aman el cambio, sólo que controlado, el que proyectan, el que desean… no el que aparece sin previo aviso.
Es un número de vibración fija y estable, lo cual le hace conseguir estructuras firmes para el futuro. Amigos, pareja y hogar… “para toda la vida” si es que hay algo que dura “toda la vida”.
Su sentido de la responsabilidad les ayudara a cumplir con su trabajo, que no les gusta por voluntad propia,… trabajan porque hay que trabajar, pero no por gusto. Por tanto conviene encuentren un trabajo que les guste, que les permita disfrutar haciendo lo que les gusta a la vez que sirve para ayudar a los demás, por ejemplo, la sanación, los masajes, etc….
Suelen crecer con conflictos con el padre, y eso les puede llevar, sobre todo en las mujeres, a tener conflictos con los hombres que vayan apareciendo en sus vidas.
En general, se rodean de mucha y buena gente, lógico, pues siempre es bonito tener al lado alguien que te sirve, te cuida y te ayuda a ser más feliz, verdad? En esto tienen mucho del DOS, anteponiendo en muchas ocasiones la felicidad de los demás a la suya propia.
Son cariñosos, besucones, expresivos, casi sobones… y es que les gusta y necesitan dar y recibir cariño…
Son sinceros, hablan desde el corazón, con la verdad por delante, y aunque no gustan de los problemas, los enfrentan con valor y talante (aunque cuando nadie les ve, caigan desconsolados).
Deben encontrar el equilibrio entre el QUERER y el DEBER, aceptar su misión de servir, ser responsables, pero siempre manteniendo su autonomía, sus valores, su espacio, liberar la culpa, eliminar las obsesiones, resolver los conflictos con el padre y los hombres de su vida, y practicar las artes sanadoras a través de la medicina, la palabra, las manos…
Las personas seis atraen a los otros como un imán. Pero hay más idealismo y afecto que sensualidad en su naturaleza amorosa. Son románticos de nacimientos, pero muchos tratan de negarlo o disimularlo. No suelen soportar las discordias, las discusiones, los celos o las actitudes desagradables, aunque por su parte pueden mostrarse intensamente celosos si se ven amenazados
Un mito o una leyenda sobre las personas seis es que la plata de alguna forma siempre esta presente y rara vez les falta, pero aun así su valor más preciado es su irresistible sonrisa, y de igual forma muchas veces despilfarra ambas.
Y un segundo mito, es que no hay persona seis, ni hombre ni mujer que en un momento de su vida no enfrente esa fuerza irresistible de querer ser padre. SINO PREGUNTALE A UNA MUJER SEIS, CUANTOS HIJOS DESEA!
EL SEIS VIBRA BAJO EL SIGNO SOLAR DE TAURO O LIBRA, SU PLANETA ES VENUS Y ESTA REPRESENTADO POR LOS ENAMORADOS EN EL TAROT EGIPCIO.
LA VIBRACION 6 INTENSIFICA LA PERSONALIDAD DE ACUARIO, TAURO Y LIBRA Y ARMONIZA CON CUALQUIER OTRO SIGNO MENOS ARIES Y ESCORPIO
No debemos olvidar que el 6 es solo una vibración en la personalidad, que puede vibrar con más o menos intensidad pero siempre esta presente. Y de uno depende el uso que le da, ya que la vida y el destino de uno se forja por uno mismo.
Los Aspectos que suelen vibrar positivamente en un 6 son: Sentido hogareño, capacidad pedagógica, responsabilidad, generosidad o servicio 
Los Aspectos que suelen vibrar negativamente en un 6 son: Ansiedad constante, preocupación despedida, discusión o intromisión.
Los Aspectos que suelen vibrar destructivamente en un 6 son: Cinismo, celos, engaño o tiranía domestica.
</t>
  </si>
  <si>
    <t>Tu influencia natal es 7</t>
  </si>
  <si>
    <t xml:space="preserve">LA MAGIA DEL ESPIRITU QUE SE ACEPTA AL ACEPTARSE UNO MISMO
EL NÚMERO DEL MISTERIO
EN “7” DIAS SE CREO EL MUNDO, LAS “7” IGLESIAS, LOS “7” TRONOS, EL “7°” CIELO, LOS “7” SELLOS, LA MARCHA DE “7” DIAS ALREDEDOR DE LAS MURALLAS DE JERICO,… Y AL “7°” DIA LAS MURALLAS CAYERON. HAY “7” GENERACIONES DE DESDE DAVID A JESUS, EN BELEN (QUE NACERA EN LA CASA DE DAVID), LOS “7” ANGELES, LOS “7” ESPIRITUS ENVIADOS A LA TIERRA. 
LOS “7” PUNTOS MAGENETICOS EN LA TIERRA, EL 7° ARTE, LAS “7” NOTAS MUSICALES, 7 LOS DIAS DE LA SEMANA,… (HAY MAGIA Y MISTERIO EN EL PORQUE DE CADA VIBRACION 7 QUE RIGE LA VIDA DEL HOMBRE, COMO LA SEMANA DE SIETE DIAS,… LOS ASTRONOMOS NO PUEDEN EXPLICAR MUCHOS “PORQUE” EN ESOS 7 DIAS, COMO EL QUE NO SE AJUSTEN BIEN NI A LOS MESES O AL AÑO EN SI)
LOS “7” ESPIRITUS DE LA RELIGION EGIPCIA; LOS “7” ANGELES DE LOS CALDEOS; LOS “7” DEVAS DE LA RELIGION HINDU; LOS “7” SEPHIROTH DE LA CABALA HEBREA; LOS “7” AMSCHASPANDS DE LA FE PERSA; LOS “7” ARCANGELES DE LA REVELACION,… 
EL 7 ESTA REPRESENTADO EN ASTROLOGIA POR PISIS, QUIEN ERA EL SIMBOLO CRISTIANO EN LA EPOCA DE JESUS, QUIEN NACIO EN LA ERA DE PISIS, Y NADIE PUEDE DISCUTIR QUE SUS MILAGROS ERAN DE VIBRACION 7 (DE ESENCIA MISTERIOSA Y ESPIRITUAL).
… EN RESUMEN EL NUMERO MAS MAGICO, ESPIRITUAL Y MISTERIOSO…
Rige el YO, pero no el YO DEL EGO del número UNO, es un YO más profundo, basado en la Fe, la Autoestima, el valor de sí mismo.
Nacen en entornos hostiles, ya sea en un nido familiar complicado o en un ambiente conflictivo, sin saber muy bien qué hacen aquí ni a qué han venido. Tardan en encontrarse. Y ese es su principal aprendizaje.
Encontrar su fe, su verdad, su camino… Personas algo solitarias, pensadores, espirituales y muy intuitivas… Pero con una tendencia al desequilibrio emocional, a los estados depresivos y los nervios.
Ese miedo y esa falta de autoestima les pueden conducir a relaciones dañinas de dependencia, experimentar maltratos o dejarse tratar mal, por no sentirse merecedores de lo bueno o por miedo al cambio.
Tienen que definir qué desean hacer en ésta vida, qué esperan de ella, y superar sus miedos para conseguirlo.
Raras veces tendrán un camino fácil, pero la Fe es lo que les hará salir adelante. Tener Fe en que siempre todo saldrá bien.
El siete es un número vocacional, y tienen que encontrar su vocación y trabajar en ella, de lo contrario la infelicidad estará servida.
Seguramente experimenten como mínimo un cambio muy brusco en su vida, un partir de cero, pues primero tomarán un camino, dejando conducirse por el destino que se vaya presentando, pero una vez se encuentren, sepan quienes son y qué quieren… irán a por ello aunque lo tengan que dejar todo atrás.
Aprender a amarse y superar sus miedos es su principal tarea en ésta vida.
Se mostrarán tímidos, reservados, buenos, nada problemáticos, trabajadores, responsables y quietos. Si nos esforzamos un poco en conocerles, descubriremos un montón de amor, de buenos sentimientos en su interior. Inteligencia, videncia, intuición…y mucha capacidad para el trabajo. Pero no olvides que el 7 es un número de misterio, de magia o ilusión, de espiritualidad… Muchas veces esta vibración no muestra a ese publico curioso su verdadero “yo”,  eso esta reservado para la gente que se a ganado su confianza.
Las personas 7 tienden a tener sueños notables. A veces lo revelan a otros, a veces lo reservan. Pero sueñan mucho más que la mayoría. Abrigan un intenso interés por lo misterios.
La vibración 7 rara vez es sigue la religión, la política o cualquier forma de pensamiento como el común de la gente.
Existe tendencia a preocuparse por el futuro demasiado, lo que muchas veces le hace necesitar saber que tienen una buena seguridad financiera como base, por si los arrastran las aguas de la fatalidad. Sin embargo no se preocupan por las posesiones materiales, ni se interesa en acumular grandes riquezas.
En la vibración 7 existen ambiciones que no se revelan y siempre están teñidas de un punto de vista filosófico. Hay una fuerte tendencia a la intimidad, son personas que prefieren reservarse sus problemas. Evitan las preguntas indiscretas y huyen de las personas autoritarias, o de cuanto consideren una invasión a su vida privada.
LO MAS MAGICO DE ESTA VIBRACION SE ENCUENTRA EN AQUELLO QUE GUARDA PARA SI MISMO. TE SORPRENDERA DESCUBRIR LOS PENSAMIENTOS DE ESTE MUNDO NEPTUNIANO.
Un mito o una leyenda sobre las personas siete, es que a muchas de ellas en un momento de su vida, despiertan aquella magia escondida, en forma de: UN FINA INTUICION, EL DON DE LA CLARIVIDANCIA O DE UN MAGNETISMO SEDANTE Y TRANQUILIZADOR.
EL SIETE VIBRA BAJO EL SIGNO SOLAR DE PISIS, SU PLANETA ES NEPTUNO Y ESTA REPRESENTADO POR EL CARRO EN EL TAROT EGIPCIO.
LA VIBRACION 7 INTENSIFICA LA PERSONALIDAD DE PISIS Y ARMONIZA CON LA DE ESCORPIO, CANCER, CAPRICORNIO Y TAURO
No debemos olvidar que el 7 es solo una vibración en la personalidad, que puede vibrar con más o menos intensidad pero siempre esta presente. Y de uno depende el uso que le da, ya que la vida y el destino de uno se forja por uno mismo.
Los Aspectos que suelen vibrar positivamente en un 7 son: Sabiduría, introspección, búsqueda, perfeccionamiento o espiritualidad. 
Los Aspectos que suelen vibrar negativamente en un 7 son: Sarcasmo, melancolía, frialdad, nerviosidad, humillación o tendencia negativa a creer solo en lo que ve.
Los Aspectos que suelen vibrar destructivamente en un 7 son: Deshonestidad, represión, infidelidad o malicia. 
</t>
  </si>
  <si>
    <t>Tu influencia natal es 8</t>
  </si>
  <si>
    <t xml:space="preserve">LA BALANZA QUE ATRAVEZ DE LA JUSTICIA, BUSCA SER EQUILIBRADA.
LA LEY DE CAUSA Y EFECTO
TANTAS SERAN TUS DICHA O TUS PENAS, COMO DEUDAS KARMICAS TENGAS.
El Amor y el Dinero… éstas son las dos vibraciones más fuertes en la vida de los nacidos en OCHO, y su camino oscilará entre una cosa o la otra… Como una broma del destino, cuando tengan Amor, no dispondrán de dinero para vivir intensamente y por lo contrario, cuando su situación económica se lo permita, no tendrán Amor con quien gastarlo…
En la parcela del Amor, crecen y llegan a la madurez sin saber dar ni recibir amor. Algunos, muy pocos dotan de cierta frialdad a la apariencia de la persona, que se muestra, insisto en que sólo en apariencia, rígidos, serios y fríos.
Estas personas muchas veces se comportan como si les importara un bledo lo que el prójimo piense de ellas, pero en el fondo les importan y mucho, si los cumplidos son sinceros disfrutan secretamente, aunque disimulan el placer, muchas veces por miedo a que los consideren débiles. Nada más errado que eso, ya que las personas ocho cuentan con una fortaleza interior única.
Siempre se sentirán faltos de Amor, o que nunca reciben suficiente, tienen que dejarse querer… No sólo hablamos de Amor en Pareja, sino Amor familiar, social, a los hijos…
Por otro lado, están dotados de una gran capacidad para las Finanzas, no deben ser trabajadores a cuenta Ajena, sino Propia, pues en ésta vibración vienen los mejores empresarios y autónomos.
Tienen gran capacidad para ganar dinero, deben trabajarse la generosidad y no tener miedo a perder, pues en ocasiones la vida nos quita aquello que no queremos que se vaya… trabajarse el desapego es fundamental, aunque resulte mucho más sencillo decirlo que hacerlo. Así que deberán montar sus propios negocios y probar suerte en inversiones, siempre sin un miedo excesivo a perder, pues es así como seguramente más ganará.
Deben trabajarse la capacidad de Amor a los demás, tal y como son, sin quererlos manipular ni doblegar, y por supuesto y en primer lugar, el amor a sí mismos, lo cual les protegerá de acabar viviendo relaciones de dependencia por no estar solos, estancadas, monótonas, que no les permiten desarrollarse como personas.
Son excelentes maestros y consejeros, algunas veces pueden tener mala salud durante la infancia, pero se vuelven mas robustos al llegar a la madurez y la longevidad es común en hombres y mujeres 8. 
UNA DE LAS LECCIONES MAS IMPORTANTES QUE DEBE APRENDER LAS PERSONAS OCHO, ES QUE PARA ELLAS NO EXISTE LA SUERTE, LA SUERTE ES LA EXCUSA DE LOS DÉBILES Y UN OCHO DE DÉBIL NO POSEE “NADA”.
Un mito o una leyenda sobre las personas ocho, es que ellas vinieron a pagar todas las deudas karmicas que dejaron pendientes en vidas pasadas, es por ello que se dice que el ocho viene a equilibrar la balanza de su vida y mucha de su dicha o desdicha depende de esto. Tiene que APRENDER A PERDONAR, a cuidar, a proteger, a ayudar, a servir,… para así poder romper las cadenas karmicas que los atan, ya que si en una vida pasada robaron, mintieron, engañaron, lastimaron, hirieron,… En esta les robaran, les mentirán, los engañaran, los lastimaran, los herirán,… Y si no logran conseguirlo, estarán atrapados en una vida 8 por siempre, sin poder pasar al siguiente nivel espiritual. 
Pero sobre todo un ocho deberá aprender “LA IMPORTANCIA DE AMAR” porque entre “QUIENES LO AMAN” se encuentra su “YO GEMELO”, que ha venido a esta vida a ayudarlo a evitar que se convierta en un “ANGEL CAIDO” (Es decir un ser malvado, perverso, sin escrúpulos, materialista,… resultado de haber vivido muchas veces en una vida 8 sin poder aprender a PERDONAR ni a AMAR y lamentablemente condenara así a su “YO GEMELO” al mismo destino.)
Como reconocer la “MALDICION DEL 8 y que tan fuerte es”: 
1- Aleja y lastima a esa persona especial, que reconocen como su “YO GEMELO”,… que ha de ser un 4 o estar bajo el signo de Acuario,… pero lo hará porque cree que lo protege de algo, que lo cuida, que es por su bien o algo similar, pero la verdad que es al revés, que es el quien vino a protegerlo, cuidarlo, ayudarlo…
2- Muchos maldicen al numero 13 y lo tachan de mal augurio y desdicha,… a tal punto que países enteros no tienen en sus edificios el piso “13” o evitan el número,…  Por lo contrario la persona ocho lo resguarda como su número de suerte (Y CLARO! si el 13 reducido no es ni mas ni menos que un “4”)
3- Cuando posee MUCHO AMOR, no posee MUCHO DINERO, pero cuando posee DINERO no posee AMOR (Y el DINERO quieras o no, en grandes cantidades tarde o temprano corrompe y mucho mas en ausencia del AMOR)
4- El 8 y el 4, están íntimamente ligados a la vida de una persona 8 (Sino a buscar: N° de DNI reducido a un solo digito, N° de la vivienda reducido a un solo digito, cantidad de hermanos, de hijos, fechas importantes,… 13, 22, 31, 17, 26, 35, 44, 53, 62, 71, 80 te suenan? Reducidos a un número son 8 y 4
5- Mayormente la persona bajo la influencia de acuario se enamora de una persona 8 o bien una persona 4 se enamora de una persona bajo la influencia de Capricornio. Recordemos que el 4 esta representado por Acuario en Astrología y el 8 esta representado por Capricornio.
MIENTRAS MÁS FUERTES SON ESTOS 5 PUNTOS EN LA PERSONA, MAS CANTIDAD DE VECES SE HA REENCARNADO EN UN 8, Y POR ENDE MAYOR ES LA CANTIDAD DE DEUDAS KARMICAS PENDIENTES.
EL OCHO VIBRA BAJO EL SIGNO SOLAR DE CAPRICORNIO, SU PLANETA ES SATURNO Y ESTA REPRESENTADO POR LA JUSTICIA EN EL TAROT EGIPCIO.
LA VIBRACION 8 INTENSIFICA LA PERSONALIDAD DE CAPRICORNIO Y ARMONIZA CON LA DE PISCIS, ESCORPIO, VIRGO Y TAURO.
No debemos olvidar que el 8 es solo una vibración en la personalidad, que puede vibrar con más o menos intensidad pero siempre esta presente. Y de uno depende el uso que le da, ya que la vida y el destino de uno se forja por uno mismo.
Los Aspectos que suelen vibrar positivamente en un 8 son: Autoridad, liderazgo, mando, capacidad ejecutiva o pragmatismo
Los Aspectos que suelen vibrar negativamente en un 8 son: Intolerancia, impaciencia, tensión, intriga o crueldad
Los Aspectos que suelen vibrar destructivamente en un 8 son: Opresión, venganza, injusticia, bebida o torpeza
</t>
  </si>
  <si>
    <t>Tu influencia natal es 9</t>
  </si>
  <si>
    <t xml:space="preserve">LO ABSOLUTO, EL FIN, LA CONCRESION DEL DESEO MAS INTENSO
AVANZA! MUCHAS VECES SIN SABER HACIA DONDE VA, PERO VA
NOS ENCONTRAMOS EN PRESENCIA DEL SEGUNDO NUMERO MAGICO, YA QUE SI LO MULTIPLICAS POR CUALQUIER OTRO NUMERO, REDUCIDO TE SEGUIRA DANDO “9”, Y SUMADO A OTRO NUMERO REDUCIDO TE DARA ESE OTRO NUMERO.
EL 9 PUEDE SER LA “H” MUDA QUE NO AFECTA OTRA VIDA EN LO MAS MINIMO. O PUEDE SER ESA LETRA QUE HACE QUE EL MAR = EL AMAR, O DAR = O DIAR… Y MODIFIQUE 180° CUALQUIER VIDA.
Llegamos al NUEVE donde se encuentra el FIN del ciclo, si todo comenzaba en el UNO todo termina en ésta vibración, que dota a quien la posee de nacimiento de la FUERZA suficiente para conseguir aquello que desea.
Es el número del espíritu, aquel que consigue MATERIALIZAR aquí en la tierra todo aquello que crea en su mente… Qué gran responsabilidad!. Porque si desea cosas buenas para el mundo, para sus seres queridos o para él mismo, conseguirá materializar esos deseos, pero si proyecta maldad, acabará creando eso mismo…
Es por eso que deben tener especial cuidado con su actitud, trabajarse el Amor a los demás, el humanitarismo y el altruismo.
En el 9 viene el Poder, y siempre existe el riesgo de acabar utilizando mal ese poder. Tiranía, Rigidez, Dogmatismo… O Altruismo, Flexibilidad, Amor incondicional… La decisión de inclinar la balanza hacia uno de los dos extremos es de cada uno.
Deben trabajarse cualidades y pensamientos positivos y amorosos o de lo contrario se convertirán en personas difíciles de tratar y con las que convivir. Abrir la mente al mundo, a las nuevas ideas, escuchar en lugar de sólo hablar, no buscar imponer sino ganar desde la razón y la lógica… todo ello para pulirse y así no acabar convirtiéndose en los dictadores de ésta sociedad. No suelen tener una vida fácil ni sencilla, pues nunca se dota de tanta fuerza a quien no va a necesitarla, por lo que suelen crecer y desarrollarse en ambientes hostiles o nidos familiares desestructurados. Otro de sus trabajos será terminar con esos sistemas en lugar de repetir la misma conducta.
Fuerza y Poder para conseguir lo que desean, a los demás sólo nos queda desear que utilicen sus facultades para el bien, de ellos mismos y de los demás.
La vibración 9 otorga, casi siempre la tendencia a ser impulsivo y tomar decisiones al instante, para lamentarlas después. Aunque monta en cólera con frecuencia, si se encuentran por el buen camino de la vibración, aprenderán a perdonar y a olvidar, sino será todo lo contrario, guardaran ese resentimiento hasta el día de su muerte, envenenado así toda su vida.
Su primer impulso siempre es querer confiar en todos. Como son francos esperan que todos lo sean, lo cual lo lleva a decepcionarse continuamente. 
Una cualidad de esta vibración, es que siempre va hacia adelante, nunca retrocede, va directamente al fondo de la situación, en vez de perder tiempo en circunloquios y en un lento proceso de análisis. Lo que lo torna impaciente con los de pensamiento y actuar mas lentos y precavidos.
Su primer impulso es dar, entregarse y dejar que Dios provea para mañana.
Un mito o una leyenda sobre las personas nueve, es que estas se encuentran en el último ciclo de la vida, por eso se lo denomina como el numero final. Y es aquí donde se presenta la última lección que deben aprender.
Basándose en este mito. Según la creencia cristiana el 666 es el numero de la bestia, y 6+6+6=36 (Recordemos Jesús se perdió a los 12 años de edad = “3” y es crucificado a los 33 años de edad = “6” y 3+ 6= “9”, El 3 representa la búsqueda, el 6 el amor, el 9 la fuerza del espíritu, por ende esta vibración “ES LA BUSQUEDA DEL AMOR PARA PODER ENFRENTAR A LA BESTIA INTERIOR, QUE INTENTA CORROMPER ESE FUERTE ESPIRITU).
EL NUEVE VIBRA BAJO EL SIGNO SOLAR DE ARIES, SU PLANETA ES MARTES Y ESTA REPRESENTADO POR EL ERMITAÑO EN EL TAROT EGIPCIO.
LA VIBRACION 9 INTENSIFICA LA PERSONALIDAD DE ARIES Y ARMONIZA CON LA DE LEO, GEMINIS, SAGUITARIO Y ACUARIO.
No debemos olvidar que el 9 es solo una vibración en la personalidad, que puede vibrar con más o menos intensidad pero siempre esta presente. Y de uno depende el uso que le da, ya que la vida y el destino de uno se forja por uno mismo.
Los Aspectos que suelen vibrar positivamente en un 9 son: Compasión, amor universal, talento artístico, dones curativos o servicio
Los Aspectos que suelen vibrar negativamente en un 9 son: Resentimiento, egoísmo, indiscreción o disipación.
Los Aspectos que suelen vibrar destructivamente en un 9 son: Inmoralidad, amargura, falsedad, vicio o dejadez
</t>
  </si>
  <si>
    <t>Tu influencia natal es 11</t>
  </si>
  <si>
    <t xml:space="preserve">Como todas las Vibraciones Maestras el 11 trasciende los límites de la mentalidad y el comportamiento humano. Es un reto que exige niveles de conducta muy altos y severos que no les permiten olvidar que ante todo y sobre todo se deben a los demás. Al estar sintonizados a una de las más altas Vibraciones, son idealistas dispuestos al sacrificio por un ideal y a menudo son los propulsores de ideas de avanzada social e interés comunitario.
Casi siempre tienen una gran inventiva que encuentra expresión en todas las actividades artísticas y creativas y como son vehementes y apasionados oradores, pueden destacar como políticos, periodistas o líderes religiosos. Su palabra, inspirada y llena de contenido conmueve e impresiona, porque lo que siempre resulta un hecho indiscutible es que la personalidad de las Vibraciones Maestras aventaja a las demás en cualquier actividad que elijan.
Teniendo tantas cualidades e inquietudes no es extraño que los 11 lleguen a convertirse en personas importantes e influyentes que alcanzan la meta de sus aspiraciones espirituales y a menudo, de rebote, el éxito financiero y social. Cuando así sucede, todo lo que consiguen en prestigio, poder o dinero, lo ponen al servicio de las personas necesitadas. Por todo esto, casi siempre dejan tal huella tras de sí, que ninguna persona puede sustraerse a su carisma, ni continua siendo la misma después de conocerles. Sin embargo, a estas personas les cuesta asimilar y acostumbrarse a la notoriedad porque son humildes y sencillas y así debe ser, porque como ya se dijo, un Número Maestro no puede permitirse el lujo de ser ególatra.
Por eso, deben tener cuidado, ya que como seres humanos falibles pueden caer en excesos que les lleven a perder la noción de la realidad, convirtiéndose en ilusos y excéntricos soñadores que persiguen irrealizables fantasías, o se pueden dejar dominar por la inseguridad y falta de confianza en sí mismo del 2 Base, desperdiciando su valioso potencial, o también puede darse el caso de que se sientan llamados a una labor de servicio pero no terminen de encontrar el medio de hacerlo.
Un 11 positivo domina estas tendencias negativas y supera todos los obstáculos que la vida le depara. Trabaja por la paz y la armonía y ha nacido para ser inspiración, luz y guía entre sus semejantes. De ellos se puede decir con justicia que llegan a ser los "capitanes de su alma y amos de su Destino".
</t>
  </si>
  <si>
    <t>Tu influencia natal es 22</t>
  </si>
  <si>
    <t xml:space="preserve">Tanto las personas 22 como las 44 han nacido con uno de los potenciales vibratorios más fuertes que se conocen, de manera que llevan en su interior una verdadera Central de Energía. La fuerza que generan va dirigida especialmente, aunque no únicamente, a la consecución de logros materiales y pueden alcanzar posiciones muy destacadas en el mundo de las finanzas, la política, la industria, el arte, o dondequiera que se desenvuelvan, porque no hay obstáculo que no puedan salvar ni persona que los detenga en su camino para lograr sus objetivos.
Pero diferentemente de los 11 o los 33 que centran sus esfuerzos primordialmente en alcanzar la superación espiritual y son más pasivos, ilusos y soñadores, los 22 y los 44 logran fusionar casi siempre su ambición de mando, éxito, riqueza y poder con el altruismo y la grandeza que caracteriza a las Vibraciones Maestras, o sea, que estos números simbolizan el poder puesto al servicio del espíritu.
Estas personas han nacido para crear, elaborar y ser a la vez idealistas; para construir con los pies asentados en tierra, el pensamiento puesto en las mejoras que pueden llevar a cabo en beneficio de los demás y el espíritu orientado hacia las alturas. Para comprender esta hermosa fusión no hay que olvidar que el 22 está formado por un 11 duplicado, (el espíritu) que se transforma en 22. (Fuerza y materialismo).
La fortaleza, perseverancia, pujanza y capacidad de realización de estas personas deben ser empleadas en la planificación de grandes proyectos, sin intervenir en su ejecución material. Su talento no debe desperdiciarse en pequeñeces, porque tienen la facultad de percibirlo todo en grandes términos.
Han nacido con el poder de amasar grandes fortunas y el dominio de todo lo demás les viene por añadidura. Pueden alcanzar las más altas posiciones en la escala social y el poder, pueden hacer y deshacer imperios y convertirse en personas que triunfan en todo lo que hacen, pero tienen que tener presente que su triunfo estará en la cooperación de fuerzas, personas y elementos, en los cuales deben apoyarse. Su intención de participar en operaciones de progreso social y material o movimientos altruistas que trabajan por la evolución del hombre deben constituir la meta de sus ambiciones. Estarán así en paz con su conciencia y disfrutarán de los beneficios que les reporten su poder, su fortuna y su prestigio. Cumplirán así también con la obligación cósmica de un 22 que le exige vivir no sólo de sueños e ilusiones, sino también de realidades.
Toda persona que acumula poder y dominio sobre los demás corre el riesgo de que los acontecimientos escapen a su control y le desborden, debido a flaquezas o fallos humanos. En el caso del 22 y el 44 el primer y más grave error que pueden cometer, sería que ambición se desboque y pretendan llegar a la cima sin importarles si los medios son lícitos o no, ni tampoco si usan o destruyen a quienes se interponen en su camino. Este 22 o 44 es el más peligroso de todos. Inflexible y despiadado no conoce escrúpulos, ni tiene consideración si su ambición o codicia se desata. Abusa de su poder y puede mostrarse cruel, ruin y mezquino. No hay que olvidar que la fuerza de esta Vibración puede llevarlos a excesos, tanto para bien como para mal, o pueden caer en la parte negativa del Número Base ahogándose en las dudas, el miedo al fracaso, inmovilizados por sus propias represiones.
</t>
  </si>
  <si>
    <t>Tu influencia natal es 33</t>
  </si>
  <si>
    <t xml:space="preserve">Como sucede con todas las Vibraciones Maestras, los 33 atraen hacia sí las Vibraciones Cósmicas que inspiran a los verdaderos Maestros y Guías espirituales de la Humanidad. Están llenos de ideas e inquietudes artísticas, intelectuales y espirituales, pero la más importante y la más fuerte de sus motivaciones será la del maestro que siente la necesidad de llevar sus conocimientos y su propia luz a los demás. 
El 33 representa el ideal del Amor en su más pura expresión, esto es, no sólo el amor a las personas de su entorno, sino el que abarca a todos los seres humanos. El amor que significa entrega, sacrificio y compasión. El amor que genera los más altos ideales y que no vacila en sacrificar todo lo material o personal para defender sus sueños y ofrecerlos a sus semejantes. El 33 nos habla del equilibrio de las cualidades morales y espirituales y de hecho, la paz que emana de su persona atrae especialmente a las personas angustiadas o desorientadas.
En esta, como en todas las Vibraciones Maestras las facultades intuitivas son extraordinarias en general, pero en este caso en particular les inspiran en el campo artístico y creativo, pudiendo alcanzar renombre al más alto nivel. Soñadores e idealistas, con una notable percepción e intuición que les permiten entrever y explorar los mundos ocultos, la mística y los fenómenos paranormales. Sus creencias, acciones y reacciones estarán siempre inspiradas por su elevada envergadura moral, ya que como los demás Números Maestros no sólo es un Maestro para los demás, sino que ante todo, será el más exigente juez de sí mismo.
A veces, el apego que estas personas sienten por su núcleo familiar es tan fuerte que llegarán al sacrificio de su propia trayectoria personal, si ésta entra en conflicto con la responsabilidad que sienten hacia los suyos, pero no deben permitir que esto suceda. Toda persona que lleva un Número Maestro no debe olvidar que tan altas Vibraciones deben ser usadas con cuidado, respeto y prudencia, ya que el ascendente que tienen sobre los demás es muy grande y si hace mal uso de éste no sólo retrocede en su propia evolución, sino que lo paga con quebranto y angustia moral. Deben huir también del fanatismo, o de presumir de sus poderes de intuición y clarividencia.
Este número en especial representa al más grande de los Maestros: Jesús.
</t>
  </si>
  <si>
    <t>Tu influencia natal es 44</t>
  </si>
  <si>
    <t xml:space="preserve">Personalidad extraordinaria con metas de vasto alcance personal y comunitario. Están dotados de grandes cualidades de fuerza, magnetismo, persistencia y autodominio, lo que les permite alcanzar las más altas posiciones que el mundo puede ofrecer.
Las personas 44 son pragmáticas, realistas y ambiciosas y su talento les permite hacer uso de su imaginación para idear vastos planes en actividades que requieran estrategia, habilidad y visión de conjunto. Saben afrontar los obstáculos a medida que se van presentando, conciliando caracteres y puntos de vista antagónicos, o encontrado ingeniosas soluciones para los problemas que otros no pueden resolver. Son, en otras palabras, dirigentes natos con gran capacidad de análisis y razonamientos y total control sobre su cuerpo y su mente.
Prudentes, serenos, honrados y amantes del orden, profesan un verdadero culto a la justicia y la eficacia. Sus ideales abarcan todo el espectro de las actividades humanas y gracias a un trabajo tenaz e incansable y a una enorme disciplina, pueden llegar a convertirse en auténticos conductores de hombres que construyen un mundo mejor.
Como se dijo en el caso de la Vibración Maestra 22, los 44 corren también el riesgo de perder de vista sus motivaciones primarias, dominados por la ambición o permitiendo que su amor y responsabilidad hacia el trabajo les domine y nuble su vocación humanitaria. Por eso es importante recordar que las Vibraciones Maestras entrañan una gran responsabilidad y que para elevarse a su altura, la persona tiene que responder a la llamada interior que le llevará por un camino que exige disciplina, humildad y entrega absoluta, pero que muchas veces no ofrece retribución. Lo único que compensará tal dedicación, será saber que ha cumplido con la tarea que ha elegido y para la cual ha sido preparado, moral y espiritualmente. El bien que hace y la confianza que inspira le ayudarán a sobrellevar los problemas e ingratitudes con que se enfrentará muchas veces en su trayectoria vital.
Como todas la Vibraciones Maestras ésta otorga también elevados principios morales. Consciente de las necesidades ajenas y de los problemas y conflictos sociales, el 44 considera un deber personal el ayudar a su solución y crear condiciones que mejoren sus niveles de vida. La obra que estas personas realizan puede en ocasiones traspasar su ámbito local y alcanzar nivel internacional.
</t>
  </si>
  <si>
    <t>Animal Espiritual 1</t>
  </si>
  <si>
    <t>Tu primer animal espiritual es 1</t>
  </si>
  <si>
    <r>
      <rPr>
        <b/>
        <sz val="11"/>
        <color indexed="8"/>
        <rFont val="Calibri"/>
        <family val="2"/>
      </rPr>
      <t>Cabra</t>
    </r>
    <r>
      <rPr>
        <sz val="11"/>
        <color theme="1"/>
        <rFont val="Calibri"/>
        <family val="2"/>
        <scheme val="minor"/>
      </rPr>
      <t xml:space="preserve">
Su símbolo es el sol y es una persona que viene a la vida a liderar. Es el número que maneja el ego. La palabra positiva que lo caracteriza se llama liderazgo. Su palabra negativa, crítica. 
Son muy críticos. A la cabra le gusta escalar, tomar posiciones, mostrarse, no tienen problema en pelear con otras cabras por el liderazgo. Caminan por los desfiladeros y arriesgan todo por manejar su vida como ellos quieren.
</t>
    </r>
  </si>
  <si>
    <t>Tu primer animal espiritual es 2</t>
  </si>
  <si>
    <r>
      <rPr>
        <b/>
        <sz val="11"/>
        <color indexed="8"/>
        <rFont val="Calibri"/>
        <family val="2"/>
      </rPr>
      <t xml:space="preserve">Ganso
</t>
    </r>
    <r>
      <rPr>
        <sz val="11"/>
        <color theme="1"/>
        <rFont val="Calibri"/>
        <family val="2"/>
        <scheme val="minor"/>
      </rPr>
      <t xml:space="preserve">El 2 viene a ser el hombro donde la gente llora. Siempre oye a todo el mundo y siempre habrá gente diciéndole “ayúdeme”. Es un ser generoso y sensible. 
Su palabra positiva es armonía, equilibrio. La negativa, inseguridad. Son celosos, territoriales. Es el número que más tiene que trabajar la autoestima. Son perfeccionistas y se ofenden con facilidad. Pero cuando tienen un amigo, es para toda la vida.
</t>
    </r>
  </si>
  <si>
    <t>Tu primer animal espiritual es 3</t>
  </si>
  <si>
    <r>
      <rPr>
        <b/>
        <sz val="11"/>
        <color indexed="8"/>
        <rFont val="Calibri"/>
        <family val="2"/>
      </rPr>
      <t xml:space="preserve">Mariposa
</t>
    </r>
    <r>
      <rPr>
        <sz val="11"/>
        <color theme="1"/>
        <rFont val="Calibri"/>
        <family val="2"/>
        <scheme val="minor"/>
      </rPr>
      <t xml:space="preserve">Vienen a la vida a ser felices y a enseñarle a la gente a ver la vida con optimismo. Su palabra positiva, alegría. Es el eterno adolescente. Por eso debe cuidarse de su lado negativo: la superficialidad. Eso le impide aprovechar todo su potencial. 
Es el numero con más suerte y más alegre, pero como es una mariposa y es mimética, se contagia de lo negativo. 
Son simpáticos, polifacéticos, creativos, pero pueden ser también superficiales y miméticos.
</t>
    </r>
  </si>
  <si>
    <t>Tu primer animal espiritual es 4</t>
  </si>
  <si>
    <r>
      <rPr>
        <b/>
        <sz val="11"/>
        <color indexed="8"/>
        <rFont val="Calibri"/>
        <family val="2"/>
      </rPr>
      <t xml:space="preserve">Hormiga
</t>
    </r>
    <r>
      <rPr>
        <sz val="11"/>
        <color theme="1"/>
        <rFont val="Calibri"/>
        <family val="2"/>
        <scheme val="minor"/>
      </rPr>
      <t xml:space="preserve">Vienen a la vida a trabajar y a construir un mundo mejor. La palabra positiva es constructor. La negativa, pesimismo. Es el número más realista. Es tan realista que se vuelve pesimista. 
Son responsables, juiciosos, organizados, metódicos, psicorrígidos. “Las cosas son así porque así tienen que ser”. Tercos como mulas, pero responsables. Uno puede confiar totalmente en ellos. Lo negativo es que son pesimistas y son los ‘Santo Tomás’ físicos de la numerología. Como para ellos trabajar es un placer, eso les complica un poquito su vida.
</t>
    </r>
  </si>
  <si>
    <t>Tu primer animal espiritual es 5</t>
  </si>
  <si>
    <r>
      <rPr>
        <b/>
        <sz val="11"/>
        <color indexed="8"/>
        <rFont val="Calibri"/>
        <family val="2"/>
      </rPr>
      <t xml:space="preserve">Conejo
</t>
    </r>
    <r>
      <rPr>
        <sz val="11"/>
        <color theme="1"/>
        <rFont val="Calibri"/>
        <family val="2"/>
        <scheme val="minor"/>
      </rPr>
      <t xml:space="preserve">Tiene prisa para todo. Su palabra positiva es vitalidad. Es el número más vital, más explosivo y temperamental. Jaime Garzón era un 5: inteligente, creativo, aventurero, arriesgado. 
Eso es un 5: como a un conejo, nunca lo verá llegar por el mismo camino. Siempre están moviéndose en diferentes niveles porque eso es importante para ellos, ¿Qué tienen que cuidar? La impaciencia, su palabra negativa. Quieren resultados rápidos y se vuelven inconstantes.
</t>
    </r>
  </si>
  <si>
    <t>Tu primer animal espiritual es 6</t>
  </si>
  <si>
    <r>
      <rPr>
        <b/>
        <sz val="11"/>
        <color indexed="8"/>
        <rFont val="Calibri"/>
        <family val="2"/>
      </rPr>
      <t>Perro, es el espíritu del amor</t>
    </r>
    <r>
      <rPr>
        <sz val="11"/>
        <color theme="1"/>
        <rFont val="Calibri"/>
        <family val="2"/>
        <scheme val="minor"/>
      </rPr>
      <t xml:space="preserve">
Como el perro, es sensible, amoroso, leal. Esta siempre dispuesto a servir a los demás. El 6 viene a la vida a amar por encima de cualquier cosa. Su palabra positiva es amor; la negativa, obsesión. Se echa cargas a la espalda que no debe, siempre está sufriendo por amor, por la familia, que es lo más importante para él. Tiene que cuidarse de ser obsesivo: quiere meter a los que ama en una caja de cristal y, cuando no lo logra, sufre, siente que no sirve.
</t>
    </r>
  </si>
  <si>
    <t>Tu primer animal espiritual es 7</t>
  </si>
  <si>
    <r>
      <rPr>
        <b/>
        <sz val="11"/>
        <color indexed="8"/>
        <rFont val="Calibri"/>
        <family val="2"/>
      </rPr>
      <t>Gato, extraterrestre.</t>
    </r>
    <r>
      <rPr>
        <sz val="11"/>
        <color theme="1"/>
        <rFont val="Calibri"/>
        <family val="2"/>
        <scheme val="minor"/>
      </rPr>
      <t xml:space="preserve">
El 7 viene a la vida a descubrir: el cómo, el cuándo y el porqué de la existencia. Son personas que hay que amar, pero no entender. Es misterioso e intuitivo como el gato. Si usted trata de entender a un 7, se enloquece. Ellos tienen momentos de “quiérame, mímeme, consiéntame”, y momentos de “no me toque, no me moleste”. Hay que aceptarlos como son. Son brillantes mentalmente. Es uno de los números más inteligentes que hay.
</t>
    </r>
  </si>
  <si>
    <t>Tu primer animal espiritual es 8</t>
  </si>
  <si>
    <r>
      <rPr>
        <b/>
        <sz val="11"/>
        <color indexed="8"/>
        <rFont val="Calibri"/>
        <family val="2"/>
      </rPr>
      <t>Toro</t>
    </r>
    <r>
      <rPr>
        <sz val="11"/>
        <color theme="1"/>
        <rFont val="Calibri"/>
        <family val="2"/>
        <scheme val="minor"/>
      </rPr>
      <t xml:space="preserve">
Vienen a la vida a dominar el mundo material. 
Su palabra positiva es éxito material. Y la negativa, exceso. Están muy conectados con el dinero. Son perseverantes, disciplinados, esforzados. Les toca vivir cosas como de novela. Como es el número del poder, la vida los prueba con cosas dramáticas. Tienen que cuidarse de los excesos porque cuando al 8 le da por trabajar, se vuelve workoholic; cuando ama, lo hace hasta el infinito; si se va de rumba, no termina.
</t>
    </r>
  </si>
  <si>
    <t>Tu primer animal espiritual es 9</t>
  </si>
  <si>
    <r>
      <rPr>
        <b/>
        <sz val="11"/>
        <color indexed="8"/>
        <rFont val="Calibri"/>
        <family val="2"/>
      </rPr>
      <t>Búho. Es el otro extraterrestre, un espíritu evolucionado.</t>
    </r>
    <r>
      <rPr>
        <sz val="11"/>
        <color theme="1"/>
        <rFont val="Calibri"/>
        <family val="2"/>
        <scheme val="minor"/>
      </rPr>
      <t xml:space="preserve">
Su palabra positiva es humanidad; la negativa, egoísmo o dispersión. Es el número más humano: son los eternos ‘solucionadores’ de líos de otros, aunque no de los propios. Tienen una capacidad increíble de entender el mundo. Como aprenden fácilmente, tienden a ser dispersos y malgastan su energía. Cuando vibran negativamente, se vuelven totalmente egoístas.
</t>
    </r>
  </si>
  <si>
    <t>Animal Espiritual 2</t>
  </si>
  <si>
    <t>Tu segundo animal espiritual es 1</t>
  </si>
  <si>
    <t>Tu segundo animal espiritual es 2</t>
  </si>
  <si>
    <t>Tu segundo animal espiritual es 3</t>
  </si>
  <si>
    <t>Tu segundo animal espiritual es 4</t>
  </si>
  <si>
    <t>Tu segundo animal espiritual es 5</t>
  </si>
  <si>
    <t>Tu segundo animal espiritual es 6</t>
  </si>
  <si>
    <t>Tu segundo animal espiritual es 7</t>
  </si>
  <si>
    <t>Tu segundo animal espiritual es 8</t>
  </si>
  <si>
    <t>Tu segundo animal espiritual es 9</t>
  </si>
  <si>
    <t>Día de Nacimiento</t>
  </si>
  <si>
    <t>Tu día de nacimiento es 1</t>
  </si>
  <si>
    <t xml:space="preserve">Interesado en tu desarrollo, eres independiente, lleno de vida y fuerza de voluntad. Como eres hábil en planear las estrategias, prefieres la actividad mental al trabajo manual. Dinámico e inquieto, consigues relajarte cuando practicas ejercicios físicos. Gustas de mantener una individualidad y raramente expresas emociones, encuentras que eso es señal de debilidad y es algo que no toleras.
</t>
  </si>
  <si>
    <t>Tu día de nacimiento es 2</t>
  </si>
  <si>
    <t xml:space="preserve">Tienes talento para lidiar con las palabras y la música. No eres ambicioso – tiendes a no luchar, por ejemplo por el estilo de vida que te gustaría tener. Felicidad, para vos, es estar siempre con tus amigos, usufructuar de la seguridad que te proporcionan y también de las ayudas cuando te sea preciso. Disfrutas con un ambiente armonioso y de un día a día sin mucha agitación. Tienes una profunda necesidad de recibir amor y atención, lo que acaba cansando a los demás.
</t>
  </si>
  <si>
    <t>Tu día de nacimiento es 3</t>
  </si>
  <si>
    <t xml:space="preserve">Eres capaz de dedicarte a actividades diferentes al mismo tiempo. Ora desarrollas una organización de un evento que exige dinamismo, ora te encierras en un taller para desarrollar una actividad manual que requiere extrema paciencia. Los amigos y los familiares te consideran interesante y divertido. Difícilmente estás deprimido o dolido por mucho tiempo. Muy emotivo, puedes llorar tanto de alegría como de tristeza.
</t>
  </si>
  <si>
    <t>Tu día de nacimiento es 4</t>
  </si>
  <si>
    <t xml:space="preserve">Trabajo, trabajo, trabajo. Durante las 24 horas del día, te colocas a disposición de tu empleo. No lo piensas dos veces cuando quieres desistir de un programa con los amigos para… trabajar. La vida social no te atrae. Prefieres estar en casa leyendo un libro, preparando algún informe. Tienes pocos y buenos amigos. Disciplinado, sigues reglas y patrones establecidos sin pestañear. Sientes mucha dificultad en lidiar con los imprevistos.
</t>
  </si>
  <si>
    <t>Tu día de nacimiento es 5</t>
  </si>
  <si>
    <t xml:space="preserve">Curioso, versátil y carismático, eres muy popular entre los familiares y amigos. A veces exageras al contar ciertas historias, mas eso no disminuye tu brillo. Gustas de ejercer actividades profesionales diferentes, pues es una forma de adquirir conocimiento y experiencia. Precisas de un compañero/a que comprenda tus necesidades de tener una vida repleta de novedades. Adoras estar con quien amas y se adapta bien a cualquier situación.
</t>
  </si>
  <si>
    <t>Tu día de nacimiento es 6</t>
  </si>
  <si>
    <t xml:space="preserve">La casa y la familia son tus bienes mas preciados y solo convidas a visitar a las personas de tu confianza. Sabes cuidar de las finanzas y valorizar aquello que conquistaste con el trabajo. Tener una pareja amorosa es la gran meta de tu vida. Y vas a intentar conseguirla, sin importarte las desilusiones afectivas que puedan sucederte. Disfrutas con las charlas agradables, mas no eres de profundizar en ningún tema. Adoras ser elogiado y sentirte protegido.
</t>
  </si>
  <si>
    <t>Tu día de nacimiento es 7</t>
  </si>
  <si>
    <t xml:space="preserve">Lo que te hace feliz es vivir en un ambiente tranquilo, confortable y organizado, donde puedas disfrutar de un buen libro, una música suave y la simplicidad de la naturaleza. Opuesto a las adulaciones, no te incómoda, a veces, que te abandonen. Posees una intuición acentuada, lo que te ayuda a leer entrelíneas lo que ocurre en tu entorno. Tienes una opinión formada sobre todo y difícilmente los amigos – que son pocos – te hagán cambiar de idea.
</t>
  </si>
  <si>
    <t>Tu día de nacimiento es 8</t>
  </si>
  <si>
    <t xml:space="preserve">Te enorgulleces de lo que tienes y de tus metas logradas. No te agrada el desprecio, no eres controlador ni atrapador. Tiendes a ser de hecho un buen profesional. Organizado, posees el don de estimar tus colegas, y de conducirlos al éxito. Eres hábil también para lidiar con las finanzas. Sólo consigues tener amistad con personas honestas, sinceras y preocupadas por el bienestar de la familia.
</t>
  </si>
  <si>
    <t>Tu día de nacimiento es 9</t>
  </si>
  <si>
    <t xml:space="preserve">Sabes darte y amar al prójimo. Generoso, te agrada ayudar a las personas, no te preocupas del tiempo que inviertes en dedicarte a ellas. Llegas hasta tomar decisiones por los otros. Por otro lado, tienes una gran dificultad en dirigir tu propia vida, permitiendole a terceros que la conduzcan. Por ser bastante emotivo, frecuentemente cambias de humor y vives tras un romance que llene tu corazón.
</t>
  </si>
  <si>
    <t>Tu día de nacimiento es 10</t>
  </si>
  <si>
    <t xml:space="preserve">Posees una mente creativa y versátil. Tienes el don de abrir los caminos donde parecía no existir salidas – tus iniciativas, en general, son triunfos. Sin embargo, muchas veces no terminas lo que inicias, lo que ciertamente perjudica la marcha de tus proyectos. Tienes facilidad para conquistar la confianza de las personan y que te consideren un buen confidente. A pesar de esto no siempre te abres con paciencia. En verdad, disfrutas estando solo.
</t>
  </si>
  <si>
    <t>Tu día de nacimiento es 11</t>
  </si>
  <si>
    <t xml:space="preserve">Actúas de forma vigorosa y determinada. No precisas de motivo alguno para hacer cualquier cosa ni pierdes tiempo planeando algo – simplemente te lanzas a la acción en un cerrar de ojos. En la mayoría de las veces, no concluyes lo que comenzaste porque tus intereses tienden a cambiar en medio del camino. Las personas de tu entorno tal vez no consigan comprenderte con facilidad. Autoritario, te agrada que lo otros hagan las cosas a tu manera.
</t>
  </si>
  <si>
    <t>Tu día de nacimiento es 12</t>
  </si>
  <si>
    <t xml:space="preserve">Hábil con las palabras, consigues establecer la armonía donde te encuentres. Guías las personas para el camino de la comprensión y de la complicidad. Dinámico e inteligente, posees posibilidades de realizar tus sueños. Pero a veces, puedes dejar de concretizar algo porque las emociones – que vive a flor de piel – tienden a desviarte del camino. Amas la vida y gustas de compartirla con aquellos que hacen parte de tu agitado día a día.
</t>
  </si>
  <si>
    <t>Tu día de nacimiento es 13</t>
  </si>
  <si>
    <t xml:space="preserve">Por un lado, eres progresista, innovador e inventivo y adoras estar en movimiento, creciendo, expandiéndote. Por otro lado, eres algo acomodado, preso de las reglas y las tradiciones y llevas una vida de forma disciplinada y organizada. En resumen: aprecias el cambio, pero sientes dificultad en modificar algo. Cuando no sabes cuál camino tomar o no eres comprendido, puedes tener explosiones emocionales. En el caso que precises pedir ayuda, no dudes en hacerlo.
</t>
  </si>
  <si>
    <t>Tu día de nacimiento es 14</t>
  </si>
  <si>
    <t xml:space="preserve">Captas con facilidad los asuntos ligados tanto al mundo material como el espiritual – parece que nada te sorprende o asusta. Trabajas con investigaciones en una actividad que puede serte de mucha satisfacción, pues estarás siempre por dentro de las novedades. Usas tu sexto sentido para decidir lo que es cierto para tí mismo. No eres disciplinado y tiendes a abusar en la comida, la bebida, en el sexo, y principalmente en juegos de azar.
</t>
  </si>
  <si>
    <t>Tu día de nacimiento es 15</t>
  </si>
  <si>
    <t xml:space="preserve">Disfrutas del hogar, los familiares, los amigos. Haces lo imposible por las personas queridas, y que ninguno se atreva a controlar tus pasos. Eres generoso, más también consciente de tus propias necesidades y deseos. Adoras sentirte activo y mantenerte ocupado. Crees en el progreso y te interesas por las innovaciones. Actúas como un imán, atrayendo el éxito, la armonía, las gentes y las cosas positivas, porque sabes adaptarse muy bien a las circunstancias.
</t>
  </si>
  <si>
    <t>Tu día de nacimiento es 16</t>
  </si>
  <si>
    <t xml:space="preserve">Tienes una mente habilidosa y perspicaz que podrá beneficiarte sobre todo a la hora de negociar algo. Sin embargo, sientes una enorme pereza de levantar la cadera y dar un primer paso, lo que perturba el desarrollo de tus proyectos. No siempre tienes facilidad en expresar lo que sientes y piensas y eso dificulta la relación hasta con la familia. Para estar lejos de los problemas y de la confusión te refugias en un lugar rodeado de naturaleza.
</t>
  </si>
  <si>
    <t>Tu día de nacimiento es 17</t>
  </si>
  <si>
    <t xml:space="preserve">Parece que naciste para administrar el dinero – el tuyo o el de otros y sabes realizar una buena transacción comercial. Estas siempre orientándote por la razón, aún cuando las emociones tiendan a hablarte de algo más. Tiendes a ser orgulloso y firme en tus propósitos. En algunos aspectos, presentas comportamientos opuestos: economizas monedas o lo gastas desenfrenadamente, desprecias reglas o las sigues al pie de la letra. Aventurero, vives en busca de conocimiento.
</t>
  </si>
  <si>
    <t>Tu día de nacimiento es 18</t>
  </si>
  <si>
    <t xml:space="preserve">Auto-suficiente, capaz y determinado, alcanzas el éxito porque no permites que nada te desvíe de las metas. Bastante inteligente, adoras debatir y discutir, pero te resistes a cambiar de punto de vista. Puedes hasta luchar movido por los sentimientos, sin embargo sólo haces algo luego de pensarlo mucho. Disfrutas de viajar y tener un día a día variado. Eres cuidadoso con el dinero y también generoso. Te pones a disposición para ayudar a quien lo necesite.
</t>
  </si>
  <si>
    <t>Tu día de nacimiento es 19</t>
  </si>
  <si>
    <t xml:space="preserve">Profundo conocedor de las emociones humanas, consigues comprender al otro, ayudándolo a resolver sus cuestiones. Tienes facilidad para racionalizar los acontecimientos, llevas con seriedad tus responsabilidades y no desistes fácilmente de las cosas, pues tiene necesidad de finalizar lo que te propones hacer. Talentoso y versátil, siempre ofreces propuestas originales. Tiendes a hacerte de las cosas y de las ideas porque simplemente son tuyas.
</t>
  </si>
  <si>
    <t>Tu día de nacimiento es 20</t>
  </si>
  <si>
    <t xml:space="preserve">Sensible, disfrutas de frecuentar ambientes amigables y de alto astral. No eres de dar el primer paso ni de crear estrategias, prefieres actuar en equipo, poniendo en práctica planes creados por otros. El trabajo manual no es tu fuerte, pero puedes tener éxito si desarrollas alguna actividad relacionada a la escritura. Te agrada coleccionar cosas, lo que es una forma de preservar el pasado.
</t>
  </si>
  <si>
    <t>Tu día de nacimiento es 21</t>
  </si>
  <si>
    <t xml:space="preserve">Adquirir conocimiento es algo imprescindible para vos, que te sientes atraído por personas inteligentes y creativas. No consigues demostrar con facilidad el amor que sientes por quien está a tu lado. Sin embargo, por ser carismático, sabes despertar en el otro, admiración, cariño y amor. Cuando algo te tira en serio, tardas un tiempo hasta calmarte. A veces, ciertos miedos sin fundamento perturban tu corazón y tu mente.
</t>
  </si>
  <si>
    <t>Tu día de nacimiento es 22</t>
  </si>
  <si>
    <t xml:space="preserve">Lleno de vitalidad, llevas una vida agitada. Tanto es así que, a veces, no te sobra tiempo para restaurar el equilibrio energético y continuar el día a día con la misma disposición. Abusas de la intuición, que te indica el camino correcto. Posees una capacidad de exceder cualquier tipo de actividad profesional, mas, ciertamente, te traerá éxito si prefieres una que no aspire solo a tu bienestar y a las ganancias financieras.
</t>
  </si>
  <si>
    <t>Tu día de nacimiento es 23</t>
  </si>
  <si>
    <t xml:space="preserve">Popular y dueño de una personalidad marcada, eres un excelente amigo, buena compañía, simpático y agradable. Sientes las cosas profundamente, te agrada ayudar a los otros y comprendes sus necesidades. Puedes ser un buen profesional en el área médica y hacer curas espirituales. Eres muy inteligente y práctico, más también muy volcado para el físico – constantemente te dejas seducir por la apariencia de las cosas y de las personas.
</t>
  </si>
  <si>
    <t>Tu día de nacimiento es 24</t>
  </si>
  <si>
    <t xml:space="preserve">No eres de respetar horarios y tiendes a ser descuidado con los temas financieros. Procuras mantenerte ocupado diariamente, tratando de dedicarte a actividades diversas. Cuando te propones iniciar una actividad, vas hasta el final, realizándolo de forma competitiva. Apegado a tus familiares, eres capaz de hacer todo para satisfacer las necesidades de ellos. De vez en cuando, los celos y la melancolía te dejan en un plano más bajo.
</t>
  </si>
  <si>
    <t>Tu día de nacimiento es 25</t>
  </si>
  <si>
    <t xml:space="preserve">Bastante intuitivo y culto, tienes facilidad para lidiar con los problemas en general y pareces siempre saber cuál es la mejor actitud a tomar. Pero también es importante que practiques lo que sugieres a terceros. Temas ligados al esoterismo y la espiritualidad suelen a atraerte. En el caso que te propongas estudiarlos, podrás volverte un experto. No permitas, por lo tanto que la pereza y la indisciplina te dominen. Evita también esconder tu naturaleza afectiva.
</t>
  </si>
  <si>
    <t>Tu día de nacimiento es 26</t>
  </si>
  <si>
    <t xml:space="preserve">Felicidad para vos, es un buen partido. Te produce un gran placer estar en casa, cuidando de aquellos a quien amas y de las cosas que adquieres, pues valorizas lo que conquistas. Lidias bien con las diferentes formas de arte, pudiendo triunfar si te dedicas a esta área. No eres de finalizar lo que inicias ni de concentrarte en el presente. A veces, eres un tanto individualista.
</t>
  </si>
  <si>
    <t>Tu día de nacimiento es 27</t>
  </si>
  <si>
    <t xml:space="preserve">Dar satisfacciones no es tu fuerte. Tu lado materialista habla más alto, pero eso no significa que estes vacío de espiritualidad – mejor dicho, tiene tus propias creencias y las defiendes con uñas y dientes. Líder nato, eres admirado por tu voluntad de crecer y de vencer. Te agrada los libros y de ampliar conocimientos. Eres versátil y te ofreces a ayudar a los otros. Pero no abres la mano para darte tiempo para resolver temas personales.
</t>
  </si>
  <si>
    <t>Tu día de nacimiento es 28</t>
  </si>
  <si>
    <t xml:space="preserve">Ambicioso y lleno de energía, das el puntapié inicial a varios proyectos simultáneamente, lo que dificulta la concentración de ellos. Tienes la necesidad de controlar todo y a todos, pero al mismo tiempo, eres generoso y compañero – no ves limites para auxiliar al otro. Tiendes a súper valorizar lo que hace, compra o dice. Aprecias la libertad de ir y venir, de creer en aquello que te hace bien. La pereza de vez en cuando te domina.
</t>
  </si>
  <si>
    <t>Tu día de nacimiento es 29</t>
  </si>
  <si>
    <t xml:space="preserve">Eres él todo o nada. En un momento estás ultra-feliz, en un momento estás híper-triste. O amas profundamente o sientes rechazo con la misma intensidad. Eres extremista también en tus opiniones. Espiritualizado e intuitivo, despiertas la admiración ajena. Sin embargo, las personas pueden quejarse al compartir el día a día con vos, pues eres temperamental e impaciente. Tiendes a vivir un mundo muy particular olvidando un poco a los otros.
</t>
  </si>
  <si>
    <t>Tu día de nacimiento es 30</t>
  </si>
  <si>
    <t xml:space="preserve">Seguro de lo que piensas y sientes, intentas convencer a las personas de que tienes siempre la razón. Disfrutas de estar en compañía de amigos y familiares y participar de fiestas y reuniones – la vida social te fascina. Sin percibir, puedes hablar de cosas que duelen o de juegos amorosos. Eres creativo y un optimo jefe de equipo, pero no encaras el trabajo codo a codo, evitándolo siempre que sea posible. Muchas veces, no crees en tu propia intuición.
</t>
  </si>
  <si>
    <t>Tu día de nacimiento es 31</t>
  </si>
  <si>
    <t xml:space="preserve">Te sientes atraído por los misterios de la mente humana y tal vez los estudie para satisfacer a tu curiosidad. Simpático, adoras estar entre amigos, pues estar solo te deja mal. Eres de asumir responsabilidades, aún así, a veces, prometes algo que no puedes cumplir. Viajar, conocer gente y disfrutar de la naturaleza, te da mucho placer. No toleras la rutina ni acepta las reglas sociales impuestas. Tienes dificultad para liberarte de las magulladuras del corazón.
</t>
  </si>
  <si>
    <t>Lo que vinimos a aprender</t>
  </si>
  <si>
    <t>Tu lección de vida es 1</t>
  </si>
  <si>
    <t xml:space="preserve">A nivel espiritual, le corresponde aprender a tomar iniciativas, a ser “humilde y manso de corazón”; debe mejorar su creatividad, creer en sus proyectos y expresar cosas nuevas. Tiene que dejar de conformase con las cosas que ya están hechas, debe aprender a prescindir del facilismo para comenzar a crear y desarrollar la originalidad. También, debe animarse a pasar de la inactividad a la acción constructiva, a crear nuevos puntos de partida y aprender a ser honrado.
En el plano profesional, se sugieren las carreras de dibujante, arquitecto, diseñador, editor, publicista, inventor, productor de cine o televisión, toda clase de actividades relacionadas con el mundo teatral, bailarín y cualquier trabajo creativo.
</t>
  </si>
  <si>
    <t>Tu lección de vida es 2</t>
  </si>
  <si>
    <t xml:space="preserve">Viene a reconocer, que debe pensar en los demás, ya que no sólo sus intereses mueven el mundo. Tiene que aprender a respetar las ideas de los demás y convivir en un ambiente sereno intentando limar asperezas y colaborar con los demás; a desarrollar la solidaridad; a expresar emociones, a compartir sentimientos, a abrirse al mundo de los otros e intentar incluirse. Su misión es aprender a asociarse sin depender de alguien, a ser consecuente en lo que emprende dejándose guiar por su Maestro Interior, a distinguir lo mejor y las cosas buenas para sí mismo y para su vida, lo positivo e importante de cada persona, de cada situación o relación para poder, así, alcanzar su Bien Superior.
A nivel profesional, lo que se ajusta a ellos es todo lo que implique negociaciones, trabajo en equipo, que requiera cooperación y que sea guiado por un líder positivo, tanto en el área del comercio y la industria como en la psicología, la psiquiatría, la abogacía, la filosofía, las letras, el periodismo, todo lo que tenga que ver con la comunicación, la fotografía y todo lo relacionado con la carrera diplomática. 
</t>
  </si>
  <si>
    <t>Tu lección de vida es 3</t>
  </si>
  <si>
    <t xml:space="preserve">Tiene como misión aprender a ver las cosas más positivamente, a darle un valor añadido a todo. Vienen a desarrollar la confianza en sí mismos, la creatividad, la capacidad artística, a ser optimistas, felices, a expresar la alegría, a tomar la vida como un juego, con entusiasmo, pasión, júbilo, a relajarse, a dejar la rigidez a un lado y a ser flexibles. Su aprendizaje primordial es a ser positivo, a tener el estado mental despejado, a ser abierto y receptivo a las cosas nuevas y maravillosas que la vida ofrece a cada ser. Debe aprender a relacionarse con personas diferentes a las del entorno inmediato ampliando el círculo social, a encontrar el placer de las pequeñas cosas, a disfrutar la naturaleza, a aprender a ser hedonistas. 
A nivel de profesión, les conviene todo aquello que tenga relación con la expresión artística: actuación, canto, composición, animación, mímica, medios de comunicación en general, prensa, cine, radio, televisión, humorismo, y todo lo que conlleve información y relación con masas de personas, relaciones públicas, gastronomía, alta cocina, hotelería, organización de eventos sociales y ecología.
</t>
  </si>
  <si>
    <t>Tu lección de vida es 4</t>
  </si>
  <si>
    <t xml:space="preserve">El lema del número cuatro como aprendizaje es “El que vive para servir, sirve para vivir”. Este número viene a desarrollar la inteligencia, a encontrar la sabiduría, el sentido de la responsabilidad, a prestar servicio desinteresado a la humanidad, a realizar un trabajo constructivo, con los pies bien afirmados en la tierra que manifieste excelencia y honestidad.
Por la capacidad organizativa y la disciplina que vienen a integrar, se adecuan a la carrera militar. Por su capacidad lógica, se realizan a través de todas las profesiones que manejen números y dinero, por ejemplo, contaduría, economía, administración de empresas, agentes de la Bolsa de Valores; agente de seguros; matemáticas, física, química, farmacia, arquitectura, ingeniería, toda la rama de la construcción, la minería, la carrera bancaria, bienes raíces. Por su minuciosidad y paciencia, se adecuan a la práctica de la relojería, la joyería, la mecánica, la electricidad, la informática, el derecho laboral y la filantropía.
</t>
  </si>
  <si>
    <t>Tu lección de vida es 5</t>
  </si>
  <si>
    <t xml:space="preserve">Viene a aprender a tener disciplina. La organización es primordial para poder llevar bien este aprendizaje: deben ser constantes en todos los aspectos de su vida, aprender a desarrollar la flexibilidad, la movilidad interna, la versatilidad, a superar los miedos a los cambios, a aprender a utilizar con sabiduría su libertad.
Profesionalmente, les corresponde ejercer todo lo relacionado con el mundo de la pedagogía la cual los realiza ya que alcanzan su misión a través del ejercicio de la enseñanza en el área que decidan. También son buenos decoradores, diseñadores, instructores de aerobics o de la especialidad deportiva que deseen, todo lo que se refiera a la esfera artística (pintura, escultura, música, danza, canto, expresión corporal, críticos de arte o modelaje), diseño industrial, agentes de viajes, azafatas, periodistas y toda carrera que implique cambios de escenarios, estructura e ideas.
</t>
  </si>
  <si>
    <t>Tu lección de vida es 6</t>
  </si>
  <si>
    <t xml:space="preserve">Su misión radica en encontrar el amor dentro de sí mismos, en cada persona y en cada situación. Este número debe crecer interior y espiritualmente: vienen a desarrollar la fe, a realizar un sendero espiritual y a compartirlo, a seguir su intuición, su sexto sentido que suele ser muy agudo, a dejarse fluir con el ritmo natural de la vida y los acontecimientos sacando un hermoso aprendizaje de cada situación vivida sin prisas. Están en este mundo para ser conscientes de la realidad sutil de los pequeños y dulces detalles, vienen a integrar lo humano con lo divino, a “tener los pies en el suelo y los ojos en el cielo”, a lograr la unidad interna superando la falsa sensación de separación con el Creador, a aprender a estar satisfechos con lo que son y con lo que han hecho. Les corresponde aprender a ser responsables, hogareños, amorosos, a nutrirse interiormente, a ayudar a los demás sin esperar una retribución por hacerlo, a decir y a defender la verdad sin temor a las consecuencias.
A nivel profesional: asistentes sociales, todos aquellos cargos gerenciales que impliquen altas responsabilidades y toma de decisiones; recursos humanos, docencia, consejeros, arbitrajes, consultores, y todo lo relacionado con psiquiatría, psicología y psicopedagogía.
</t>
  </si>
  <si>
    <t>Tu lección de vida es 7</t>
  </si>
  <si>
    <t xml:space="preserve">Vienen a este mundo ser escuchados, a convertirse en líderes, en oradores, en dirigentes de la actividad profesional que decidan realizar, a dirigir grupos, a exponer ideas. También a desarrollar la compasión y la misericordia, a ser independientes y creer en sí mismos, a disfrutar y aprender de la soledad, a reconocer constantemente cuales son las prioridades en la vida, y saber qué camino tomar, a profundizar en conocimientos espirituales a través de estudios esotéricos como el tarot y de diferentes tipos de meditación que los conecten con su poder interior, a desarrollar toda actividad que lleve paz.
A nivel profesional, se adecuan a todo cargo que aplique liderazgo empresarial, político, social, económico o espiritual. A todo aquello que -de alguna forma- vaya dirigido a las masas: vendedores, promotores, dirigentes políticos, dirección de sindicatos, comunicadores sociales, jueces, reformadores públicos y cargos políticos que impliquen dirigencia.
</t>
  </si>
  <si>
    <t>Tu lección de vida es 8</t>
  </si>
  <si>
    <t xml:space="preserve">Vienen a desarrollar el orden y la constancia, a aprender a creer en sí mismos y en el manejo de su energía, a superar los miedos, a ser tolerantes, a tener flexibilidad en los criterios y creencias, a desarrollar la confianza y la inocencia curando viejas heridas, a encontrar dentro en sí la pureza, aprender a ser como niños “mansos y puros de corazón”. Son sanadores en la propia vida y luego, lo hacen extensivo a los demás. Son excelentes para planificar, concretar y realizar el éxito financiero equilibrando lo material con lo espiritual, encontrando satisfacción en la energía del dinero sin convertir el dinero en un falso ídolo.
Se realizan profesionalmente a través de toda empresa económica grande, como banqueros, abogados corporativos, asesores de empresas y todo lo relacionado con el área de la salud: médicos, enfermeros, dietistas, psicopedagogos, odontólogos, investigadores y todo lo relacionado con la medicina alternativa de la nueva era.
</t>
  </si>
  <si>
    <t>Tu lección de vida es 9</t>
  </si>
  <si>
    <t xml:space="preserve">Viene a realizarse en todas las áreas de la vida, con un crecimiento general. Están aquí para concretar cosas, aprender a terminar todo aquello que comiencen o han comenzado en otras etapas, a lograr el éxito en todo lo que emprendan, a hacer las cosas bien hechas, a ser profundos, consistentes, coherentes y, sobre todo muy constantes. También están aquí para desarrollar amor y tolerancia hacia el prójimo, ser compasivos y situarse en el lugar del otro; vienen a desarrollar el altruismo, a soltar el juicio sobre personas, a dejar correr las cosas que no son importantes, a ver los aspectos más sutiles, más profundos, asumiendo su propio aprendizaje, a tener agilidad en los procesos de aprendizaje, a no demorarse tanto en analizar e integrar a su vida los nuevos conceptos, a realizar ideales nobles. 
A nivel profesional, cumple su misión cuando alcanza la realización en el área económica que elija desempeñarse, especialmente, cuando ésta tenga relación con crear beneficios para grandes cantidades de personas, todo lo referente a la asistencia social, organizaciones que incluyan planes filantrópicos o educativos, el área de la educación y la pedagogía en general, escritor, abogado laboral en sindicatos de trabajadores, comunicadores sociales y en fin todo aquello en que se obtenga realización, proyección y beneficio de la humanidad.
</t>
  </si>
  <si>
    <t>Primer Desafío</t>
  </si>
  <si>
    <t>Tu primer numero de desafío es 0</t>
  </si>
  <si>
    <t xml:space="preserve">Significa : que tienes todos los desafíos o que no tienes ningún desafío . Es un caso muy especial que revela un alma esforzada. O sea , o todo llega fácil a tu vida o todo se complica demasiado.
</t>
  </si>
  <si>
    <t>Tu primer numero de desafío es 1</t>
  </si>
  <si>
    <t xml:space="preserve">Significa : que tu desafío es desarrollar un vigoroso poder de voluntad . Debes sentirte seguro de lo que estás haciendo y luego avanzar.
</t>
  </si>
  <si>
    <t>Tu primer numero de desafío es 2</t>
  </si>
  <si>
    <t xml:space="preserve">Significa : que tu desafío es desarrollar la auto-confianza , sino serás tímido, sensible y fácil de herir. Debes evitar desarrollar un complejo de inferioridad.
</t>
  </si>
  <si>
    <t>Tu primer numero de desafío es 3</t>
  </si>
  <si>
    <t xml:space="preserve">Significa : que tu desafío es no dispersar tu talento. Debes escribir o disertar. No desperdicies tu tiempo y no te dejes dominar por el mal humor.
</t>
  </si>
  <si>
    <t>Tu primer numero de desafío es 4</t>
  </si>
  <si>
    <t xml:space="preserve">Significa : que tu desafío es el ser disciplinado, ordenado y sistemático . No puedes ser perezoso. Debes luchar para no preocuparte sin necesidad.
</t>
  </si>
  <si>
    <t>Tu primer numero de desafío es 5</t>
  </si>
  <si>
    <t xml:space="preserve">Significa : que tu desafío es difícil de asumir, porque sos muy impulsivo . Queres la libertad a cualquier precio. Queres intentar todo y por ello te falta estabilidad. Debes dominar tus deseos de eludir responsabilidades.
</t>
  </si>
  <si>
    <t>Tu primer numero de desafío es 6</t>
  </si>
  <si>
    <t xml:space="preserve">Significa : que tu desafío es aprender que los demás tienen derecho a sus propias ideas y normas . Debes evitar ser dominante y desear que todos se adapten a tus principios o modo de pensar.
</t>
  </si>
  <si>
    <t>Tu primer numero de desafío es 7</t>
  </si>
  <si>
    <t xml:space="preserve">Significa : que tu desafío es el peor de todos. Crea demasiado falso orgullo y aislamiento. Debes evitar la melancolía que te lleva a recurrir a la bebida.
</t>
  </si>
  <si>
    <t>Tu primer numero de desafío es 8</t>
  </si>
  <si>
    <t xml:space="preserve">Significa : que tienes un desafío que impone mucho equilibrio. Produce mucha tensión. Debes siempre tener los pies en la tierra y avanzar paso a paso.
</t>
  </si>
  <si>
    <t>Tu primer numero de desafío es 9</t>
  </si>
  <si>
    <t xml:space="preserve">Significa : que no posees desafio alguno, o que el desafío esta en valorarte un poco mas, entender que también somos parte de la humanidad y debemos cuidarnos como cuidarla a ella
</t>
  </si>
  <si>
    <t>Segundo Desafío</t>
  </si>
  <si>
    <t>Tu segundo numero de desafío es 0</t>
  </si>
  <si>
    <t>Tu segundo numero de desafío es 1</t>
  </si>
  <si>
    <t>Tu segundo numero de desafío es 2</t>
  </si>
  <si>
    <t>Tu segundo numero de desafío es 3</t>
  </si>
  <si>
    <t>Tu segundo numero de desafío es 4</t>
  </si>
  <si>
    <t>Tu segundo numero de desafío es 5</t>
  </si>
  <si>
    <t>Tu segundo numero de desafío es 6</t>
  </si>
  <si>
    <t>Tu segundo numero de desafío es 7</t>
  </si>
  <si>
    <t>Tu segundo numero de desafío es 8</t>
  </si>
  <si>
    <t>Tu segundo numero de desafío es 9</t>
  </si>
  <si>
    <t>Don Divino</t>
  </si>
  <si>
    <t>Tu don divino es 1</t>
  </si>
  <si>
    <t xml:space="preserve">Un don que hace a grandes genios creativos y con frecuencia de mucha chispa para atraer a otros como un imán. Si estas en un camino espiritual, este número refuerza tu compromiso para seguir en ese camino. La clave de este don se encuentra en la creatividad.
</t>
  </si>
  <si>
    <t>Tu don divino es 2</t>
  </si>
  <si>
    <t xml:space="preserve">Un don que hace a las personas bondadosas y generadoras de un sentimiento maravilloso cuando se esta a su lado, un buen anfitrión, que gusta del estudio y las relaciones limpias. La mejor cualidad de este don es el saber confrontar las cosas con entrega y amor. Y la habilidad para calcular el peligro en cualquier situación.
</t>
  </si>
  <si>
    <t>Tu don divino es 3</t>
  </si>
  <si>
    <t xml:space="preserve">Este don otorga amor hacia la humanidad, entereza en el carácter contra cualquier adversidad, y por lo mismo, una gran capacidad de ser sostén y alianza en y con otros. Siempre te dará cosas positivas qué decir, aunque los demás puedan ser negativos, te escucharan decir “pero mira desde este punto de vista”. Ese es tu regalo: La actitud de regocijo por las cosas.
</t>
  </si>
  <si>
    <t>Tu don divino es 4</t>
  </si>
  <si>
    <t xml:space="preserve">Este don da a las personas un psiquismo excepcional que les permite penetrar hacia otras esferas de percepción con gran facilidad, y usar este regalo para servir a otros sin esperar nada a cambio. Al tener una mente lógica, hace a las personas neutrales, humildes y amar el ser serviciales.
</t>
  </si>
  <si>
    <t>Tu don divino es 5</t>
  </si>
  <si>
    <t xml:space="preserve">Es el don que da la imagen del catedrático, de la persona que siempre está dispuesta a compartir su conocimiento, aprovechando que posee el don de la elocuencia y del impacto en la comunicación.
</t>
  </si>
  <si>
    <t>Tu don divino es 6</t>
  </si>
  <si>
    <t xml:space="preserve">Tu regalo es la incuestionable capacidad que posees para relacionarte con la naturaleza. Este don te permitirá volcarte en las cosas simples, llanas y naturales de la creación, las cuales defiendes siempre contra cualquier fuerza que pretenda dañarlas. También te dará una extraordinaria capacidad para concentrarte en un punto, con respecto a todo lo que haces.
</t>
  </si>
  <si>
    <t>Tu don divino es 7</t>
  </si>
  <si>
    <t xml:space="preserve">El don de la máxima capacidad de ejecución, con una buena estrella para destacar en todo lo que emprendes, tu regalo consiste en un poder personal considerable que apunta hacia la pureza, lo positivo y lo elevado. Puedes entrar en cualquier situación y llevar el espíritu hacia ella. Sos la chispa de la vida en una fiesta, pues generas buenas energías fácilmente.
</t>
  </si>
  <si>
    <t>Tu don divino es 8</t>
  </si>
  <si>
    <t xml:space="preserve">El don del triunfador que se ha curtido en hazañas, por lo que ahora suele emprender muchas cosas y ser tenaz hasta lograrlas. Tu regalo es la fe en todo lo que realizas y esta fe es contagiosa.
</t>
  </si>
  <si>
    <t>Tu don divino es 9</t>
  </si>
  <si>
    <t xml:space="preserve">La transparencia de tus acciones es tu gran regalo. A veces pareces muy infantil en tu manera de dar y recibir afecto y es que lo haces sin dobleces. A esto se le une mucha inteligencia y energía. Sos maestro y lo que trates de hacer lo harás entendiendo rápidamente la sutileza de ello.
</t>
  </si>
  <si>
    <t>Tu don divino es 10</t>
  </si>
  <si>
    <t xml:space="preserve">Este don ofrece un mando aunado en la capacidad de creación, liderando lo mismo para bien o para mal. Usando este don acorde con las leyes cósmicas dará un gran poder. 
</t>
  </si>
  <si>
    <t>Tu don divino es 11</t>
  </si>
  <si>
    <t xml:space="preserve">Es el don que sirve de puente o enlace entre la parte material del hombre y su esencia divina. Un regalo con la cualidad de penetrar en mundos paralelos a través de la mente, ya sea en forma mística o fenomenológica, capaz de expresar la energía de cualquiera de los cuerpos espirituales cuando sea necesario.
</t>
  </si>
  <si>
    <t>Nº de Raíz</t>
  </si>
  <si>
    <t>Tu numero de raíz es 10</t>
  </si>
  <si>
    <t xml:space="preserve">Simboliza éxitos, suerte, vida muy activa, espíritu viajero y da cierta inestabilidad en el orden sentimental. Es dirigente por naturaleza. Y aunque avance paso a paso logrará sus objetivos. Es un alma “vieja”.
</t>
  </si>
  <si>
    <t>Tu numero de raíz es 11</t>
  </si>
  <si>
    <t>No posees numero de raíz</t>
  </si>
  <si>
    <t>Tu numero de raíz es 12</t>
  </si>
  <si>
    <t xml:space="preserve">Hay una clara tendencia al sacrificio. Vida llena de contrariedades, angustias y caídas. Puede estar pagando un duro karma. Todo el bien que realice le será tenido muy en cuenta.
</t>
  </si>
  <si>
    <t>Tu numero de raíz es 13</t>
  </si>
  <si>
    <t xml:space="preserve">Anuncia situaciones de luchas y serios problemas económicos. Hay tensiones, desarmonías y rupturas en general. La mayoría de sus proyectos no se concluyen.
</t>
  </si>
  <si>
    <t>Tu numero de raíz es 14</t>
  </si>
  <si>
    <t xml:space="preserve">Hay gran energía, iniciativa, geniales ideas y gran sabiduría de la vida. Es diplomático y aspira a altos puestos. Puede estar muy bien económicamente. Aunque quizás decida entregarse a lo esotérico o al sacerdocio, dejando de lado lo material.
</t>
  </si>
  <si>
    <t>Tu numero de raíz es 15</t>
  </si>
  <si>
    <t xml:space="preserve">Hay tendencia al éxito personal, pero no siempre de buena fuente. Si bien tiene voluntad y perseverancia también es muy astuto y si dañara a alguien se haría el distraído. Es pasional y persona sin términos medios.
</t>
  </si>
  <si>
    <t>Tu numero de raíz es 16</t>
  </si>
  <si>
    <t xml:space="preserve">Se trata de un destino de muchos altibajos sujeto a varias severidades kármicas. Advierte el peligro de accidentes y de caídas económicas intermitentes. Viene arrastrando muchos problemas desde la vida anterior. Debe conectarse con Dios orando permanentemente, y perdonar para ser perdonado.
</t>
  </si>
  <si>
    <t>Tu numero de raíz es 17</t>
  </si>
  <si>
    <t xml:space="preserve">Intuitivo, misterioso, profundo y sumamente capaz. Es prudente y tiene una gran comprensión de la vida. En los momentos difíciles la suerte se pondrá de su lado, lógicamente si lo que busca es el bien propio y de los demás. Por lo general es optimista y a veces es genial. Muy buen ejecutivo o dirigente.
</t>
  </si>
  <si>
    <t>Tu numero de raíz es 18</t>
  </si>
  <si>
    <t xml:space="preserve">Trae deudas kármicas, que sólo superará mediante sacrificios y el amor de sus semejantes, pase lo que pase. Siempre deberá estar atento a situaciones muy confusas. No faltarán decepciones y desengaños sentimentales. Habrá mucho de ilusorio en su vida.
</t>
  </si>
  <si>
    <t>Tu numero de raíz es 19</t>
  </si>
  <si>
    <t xml:space="preserve">Por lo general es una mente brillante que necesita carta blanca. Es todo o nada. Necesita armonizarse con su entorno para no caer en tiranías. Este número promete poder, dichas y ayuda de toda clase. Debe realizar actos de amor universal.
</t>
  </si>
  <si>
    <t>Tu numero de raíz es 20</t>
  </si>
  <si>
    <t xml:space="preserve">Hay gran deseo de sobresalir, de renombre y de ser reconocido por lo que realiza. Es una vida de sorpresas, que se alternan entre lo bueno y lo malo. Es inteligente, despierto y si encuentra la armonía entre la realidad y sus fantasías puede llegar muy alto.
</t>
  </si>
  <si>
    <t>Tu numero de raíz es 21</t>
  </si>
  <si>
    <t xml:space="preserve">Ambicioso pero no codicioso. Puede dejar su nombre en el mundo porque tiene gran conciencia cósmica. Hay un gran deseo de libertad. Posee talento que debe emplearse en beneficio de la humanidad.
</t>
  </si>
  <si>
    <t>Tu numero de raíz es 22</t>
  </si>
  <si>
    <t>Tu numero de raíz es 23</t>
  </si>
  <si>
    <t xml:space="preserve">Inteligente, capaz, pudiendo llegar a la riqueza o la fama. También es muy alto para el mundo de la medicina. Sabe ayudar a otros y se espera una vida de felicidad, amor y contactos a grandes niveles. Y hasta la posibilidad de un golpe de suerte.
</t>
  </si>
  <si>
    <t>Tu numero de raíz es 24</t>
  </si>
  <si>
    <t xml:space="preserve">Una naturaleza noble y humana, con gran amor a los suyos y a los animales. Le interesa promover el desarrollo en el campo escolar y científico. Muy perceptivo del mundo oculto. Puede dedicarse a la psiquiatría. Todo lo hará con sacrificio y abnegación.
</t>
  </si>
  <si>
    <t>Tu numero de raíz es 25</t>
  </si>
  <si>
    <t xml:space="preserve">La marina y la aviación son afines a este número. Periodismo, psicología, medicina o cualquier profesión antes que el comercio. Es una combinación difícil y de rivalidades afectivas. Altibajos de conducta. Se muestra solitario aunque esté casado. Filosófico y espiritual. Tendrá que descubrir cuál es su misión en esta vida.
</t>
  </si>
  <si>
    <t>Tu numero de raíz es 26</t>
  </si>
  <si>
    <t xml:space="preserve">Da cambios o falta de perseverancia, lo que lo hace fracasar en muchas empresas laborales o afectivas. Se trata de un número kármico que le obligará a conocer la tierra que pisa a través de muchas experiencias. Asimila rápido y bien, pero tiene tanto mundo interior que se desconecta fácilmente de la realidad.
</t>
  </si>
  <si>
    <t>Tu numero de raíz es 27</t>
  </si>
  <si>
    <t xml:space="preserve">Falta de lucidez y armonía. Bastante confuso, muy pocas veces encuentra el camino por seguir. Podría ser un buen actor, médico, publicista o trabajar con productos de primera necesidad. Es factible que suceda todo lo bueno o todo lo malo sin previo aviso. De él dependerá recibir el impacto o bien que le resbale.
</t>
  </si>
  <si>
    <t>Tu numero de raíz es 28</t>
  </si>
  <si>
    <t xml:space="preserve">Señala posibilidades de procesos judiciales. Indeciso. Es combativo, luchador y de gran energía latente. Autoritario y excluyente. Bastante desconsiderado, intolerante y comete muchos errores.
</t>
  </si>
  <si>
    <t>Tu numero de raíz es 29</t>
  </si>
  <si>
    <t xml:space="preserve">Aquí hay gran creatividad en todo sentido y una fuerte emotividad humana: también hay que vencer algunos traumas, encerramiento y timidez. A veces el orgullo no le deja ver sus errores. Aunque es generoso es bastante individualista. Le cuesta trabajo tomar decisiones.
</t>
  </si>
  <si>
    <t>Tu numero de raíz es 30</t>
  </si>
  <si>
    <t xml:space="preserve">Estará atraído por arte y literatura, ya que tiene una enorme creatividad. Puede conseguir éxitos económicos, honores, prestigio y la concreción de variadas metas. Buen médico, abogado, profesor. Es idealista y tiene dotes proféticas.
</t>
  </si>
  <si>
    <t>Tu numero de raíz es 31</t>
  </si>
  <si>
    <t>Tu numero de raíz es 32</t>
  </si>
  <si>
    <t>Tu numero de raíz es 33</t>
  </si>
  <si>
    <t xml:space="preserve">Tiene una gran misión y lo dará todo sin esperar nada, honrado, creativo, muy humano. Ha nacido para contribuir a la mejora del mundo. Por lo general es un espíritu milenario y en muchas ocasiones maestro de maestros.
</t>
  </si>
  <si>
    <t>Tu numero de raíz es 34</t>
  </si>
  <si>
    <t xml:space="preserve">Inteligente, tiene sabiduría y gran facilidad de palabra. En su vida pueden haber muchos viajes o bien trabajar en empresas que se dediquen a ello. Es muy psíquico y si no se desvía de sus propósitos humanos, el cosmos le entregará a manos llenas lo que ya se ganó en vidas anteriores.
</t>
  </si>
  <si>
    <t>Tu numero de raíz es 35</t>
  </si>
  <si>
    <t xml:space="preserve">Hay una vitalidad inagotable. Este número suele ser portador de una buena posición económica. También interviene en los puestos de poder. En su vida personal las cosas pueden ser muy distintas trayendo melancolías, obstáculos y no pocas lágrimas por amores no correspondidos.
</t>
  </si>
  <si>
    <t>Tu numero de raíz es 36</t>
  </si>
  <si>
    <t xml:space="preserve">Buen dirigente de los demás: Es persona determinada que inspira confianza. Saber ver el futuro o al menos intuirlo. Buen ejecutivo, abogado, médico, deportista, etc. Se le anuncian muchos viajes. Si bien tiene un número afortunado, el cosmos nunca regala nada.
</t>
  </si>
  <si>
    <t>Tu numero de raíz es 37</t>
  </si>
  <si>
    <t xml:space="preserve">Recibirá ayuda de familiares y amigos. Posiblemente es la combinación de l uno, menos altanera y dominante. Hay capacidad y grandes ideas. Buen diplomático, abogado, consejero. Reservado y muy capaz mentalmente.
</t>
  </si>
  <si>
    <t>Tu numero de raíz es 38</t>
  </si>
  <si>
    <t xml:space="preserve">Actividad y cambios son la clave. Aunque es introvertido, comprende mucho a los demás y es muy útil en puestos de responsabilidad humana. Está dotado para el arte. En su vida intervendrán más mujeres que hombres. Intuitivo y sensible, pero muy cambiante.
</t>
  </si>
  <si>
    <t>Tu numero de raíz es 39</t>
  </si>
  <si>
    <t>-</t>
  </si>
  <si>
    <t>Tu numero de raíz es 40</t>
  </si>
  <si>
    <t xml:space="preserve">Bloqueos y neurosis. Ve todo negro y eso le lleva a un desorden de conducta y objetivos. Por lo general es persona egoísta. Y sólo interesada en su propio yo. Debe mejorar mucho si no quiere terminar su vida en soledad.
</t>
  </si>
  <si>
    <t>Tu numero de raíz es 41</t>
  </si>
  <si>
    <t>Tu numero de raíz es 42</t>
  </si>
  <si>
    <t>Tu numero de raíz es 43</t>
  </si>
  <si>
    <t>Tu numero de raíz es 44</t>
  </si>
  <si>
    <t xml:space="preserve">Cualquier actividad que realice en la vida, lo premiará con un éxito duradero. Política militarismo, instituciones del Estado, medicina, psiquiatría, etc. Disciplinado y constante trabajador del intelecto. También en cuestiones del corazón puede ser muy feliz si encuentra una pareja a su medida.
</t>
  </si>
  <si>
    <t>Tu numero de raíz es 45</t>
  </si>
  <si>
    <t xml:space="preserve">Tensiones emocionales. La familia puede intervenir demasiado en su vida, trayéndole problemas matrimoniales. Es ansioso y sujeto a temores reales o no. Vive con una sensación de impotencia o desamparo. En él está poner los límites necesarios para su felicidad.
</t>
  </si>
  <si>
    <t>Tu numero de raíz es 46</t>
  </si>
  <si>
    <t xml:space="preserve">Señala una vida de altibajos continuos y a veces inexplicables. El podría ser su mayor enemigo, porque quiere tenerlo todo ya y sin excusas. Vive en el pasado y choca con el futuro. Personalidad bastante dominante e impulsiva.
</t>
  </si>
  <si>
    <t>Tu numero de raíz es 47</t>
  </si>
  <si>
    <t xml:space="preserve">Esta formación del 2 resulta la más efectiva y exitosa: Muy apto para puestos de jerarquía. Corre peligro de excesos emocionales. Una mente fértil que capta ideas al instante. Trabaja eficientemente y tiene una fuerte voluntad.
</t>
  </si>
  <si>
    <t>Tu numero de raíz es 48</t>
  </si>
  <si>
    <t xml:space="preserve">Persona llena de tensiones y conflictos. Se desorienta con mucha facilidad. Es bastante incomprensible y muy difícil de complacer. Hay falta de estabilidad mental. No está muy preparado para la dura lucha de la existencia.
</t>
  </si>
  <si>
    <t>Tu numero de raíz es 49</t>
  </si>
  <si>
    <t xml:space="preserve">Personalidad inestable. Vive muy tensionado. Se exige o le exigen mucho trabajo, del cual saca poco resultados económicos. Abusan de su bondad.
</t>
  </si>
  <si>
    <t>Tu numero de raíz es 50</t>
  </si>
  <si>
    <t xml:space="preserve">Hay un gran magnetismo personal. Es inspirado, creativo, comprende a la gente y esta lo busca para solicitarle consejos. Muy sociable, afectuoso, pudiendo alcanzar el liderazgo, si lo desea. Sólo se marcan penurias en el terreno afectivo.
</t>
  </si>
  <si>
    <t>Tu numero de raíz es 51</t>
  </si>
  <si>
    <t>Tu numero de raíz es 52</t>
  </si>
  <si>
    <t>Tu numero de raíz es 53</t>
  </si>
  <si>
    <t>Tu numero de raíz es 54</t>
  </si>
  <si>
    <t>Tu numero de raíz es 55</t>
  </si>
  <si>
    <t xml:space="preserve">Nervios y tensiones… porque sí, porque no y por las dudas. Muy quisquilloso, ambicioso y terco. Muchas veces se queda solo a causa de que es difícil convivir con él. En su vida no faltarán dificultades. Y si no trabaja bien, tampoco le faltará hambre.
</t>
  </si>
  <si>
    <t>Tu numero de raíz es 56</t>
  </si>
  <si>
    <t>Tu numero de raíz es 57</t>
  </si>
  <si>
    <t xml:space="preserve">Si bien es impulsivo y a veces agresivo, también es original. Tiene reacciones imprevisibles y grandes problemas sentimentales. Vida de muchos altibajos. Por lo general está de mal humor y debe soportarse a sí mismo.
</t>
  </si>
  <si>
    <t>Tu numero de raíz es 58</t>
  </si>
  <si>
    <t xml:space="preserve">Confuso, retraído. Arriesga poco y entonces gana poco. Siempre lleno de inquietudes y melancolías. Habrá disgustos y contrariedades en los afectos. También su economía sufrirá grandes altibajos.
</t>
  </si>
  <si>
    <t>Tu numero de raíz es 59</t>
  </si>
  <si>
    <t xml:space="preserve">Temerario, pero imprudente. Bastante irresponsable y muy indeciso en sus opiniones. Tendrá que pasar por varios fracasos hasta lograr algo sólido. Si se controla es capaz de hacer muchas cosas en bien propio y de los demás.
</t>
  </si>
  <si>
    <t>Tu numero de raíz es 60</t>
  </si>
  <si>
    <t>Tu numero de raíz es 61</t>
  </si>
  <si>
    <t xml:space="preserve">Persona generosa y abnegada. Intelectual, refinado y sensible. Le interesa el lado oculto de la vida. Podría ser un soltero empedernido o bien costarle mucho salir de la soledad. Los demás lo ven evasivo y complicado. Contradictorio en casi todo lo que emprende. Su vida no será fácil.
</t>
  </si>
  <si>
    <t>Tu numero de raíz es 62</t>
  </si>
  <si>
    <t>Tu numero de raíz es 63</t>
  </si>
  <si>
    <t xml:space="preserve">Demasiado prudente en todo. No sabe ver sus capacidades ocultas. Pasa mucho tiempo lamentando su suerte, sin hacer nada por remediarla o al menos por entender la verdad espiritual. Esto lo lleva desengaños, atrasos en negocios y peligros de accidentes, por estar mirando las nubes… y no el camión que viene de frente.
</t>
  </si>
  <si>
    <t>Tu numero de raíz es 64</t>
  </si>
  <si>
    <t>Tu numero de raíz es 65</t>
  </si>
  <si>
    <t>Tu numero de raíz es 66</t>
  </si>
  <si>
    <t>Persona abnegada, idealista, sociable y generosa, a veces puede resultar indecisa, sabe dar buenos consejos a otros… desastrosos consejos a sí mismo. Cuando entrega su amor lo hace en forma total.</t>
  </si>
  <si>
    <t>Tu numero de raíz es 67</t>
  </si>
  <si>
    <t xml:space="preserve">Posee facultades artísticas y creativas. Es bastante maduro y puede conseguir objetivos sin ayuda de nadie. Las amistades lo ayudarán siempre. Tiene un enfoque práctico de la vida y gran sentido común.
</t>
  </si>
  <si>
    <t>Tu numero de raíz es 68</t>
  </si>
  <si>
    <t xml:space="preserve">Siente una gran atracción por el lujo y las comodidades de la vida terrestre. El poder le fascina y si llegase a alcanzarlo se mostraría intrigante y tirano. En su vida pasará por muchos altibajos pudiendo ganar o perder más de un fortuna.
</t>
  </si>
  <si>
    <t>Tu numero de raíz es 69</t>
  </si>
  <si>
    <t xml:space="preserve">Conflictos. Tiene poca fe en sus facultades. El dinero es la única meta de existencia. Podría recibir un golpe de suerte, y si no sabe manejarlo quedaría más pobre que antes. Problemas matrimoniales por inconstancia.
</t>
  </si>
  <si>
    <t>Tu numero de raíz es 70</t>
  </si>
  <si>
    <t xml:space="preserve">Mente investigadora. Tendrá una existencia cambiante, pero llena de oportunidades. Viajes, negocios, movimientos. Entre todos los números siete es el único capaz de aceptar sociedades, sin problemas. Práctico, sereno y con gran capacidad de mando en puestos de responsabilidad.
</t>
  </si>
  <si>
    <t>Tu numero de raíz es 71</t>
  </si>
  <si>
    <t>Tu numero de raíz es 72</t>
  </si>
  <si>
    <t xml:space="preserve">Este sí que es dueño. Dueño de una gran ambición. Trabajador, tenaz y analítico. Es hábil y su mente trabaja a mil. Grandes oportunidades en el terreno comercial, bienes raíces e importantes empresas. Hay un fuerte carácter y pronóstico de fortuna. Bastante individualista.
</t>
  </si>
  <si>
    <t>Tu numero de raíz es 73</t>
  </si>
  <si>
    <t>Tu numero de raíz es 74</t>
  </si>
  <si>
    <t>Tu numero de raíz es 75</t>
  </si>
  <si>
    <t>Tu numero de raíz es 76</t>
  </si>
  <si>
    <t>Tu numero de raíz es 77</t>
  </si>
  <si>
    <t xml:space="preserve">Buena suerte. Popularidad. Muchos viajes. Mejorará en su vida social aunque empiece desde la nada. Una existencia de afectos y realización en general. Inesperados ascensos y dinero de fuentes diversas.
</t>
  </si>
  <si>
    <t>Tu numero de raíz es 78</t>
  </si>
  <si>
    <t xml:space="preserve">Hay una gran `potencia alcanzada a través de vidas anteriores, augurando éxito profesional y de familia. Hay idealismo y un gran equilibrio. Seguro, confiable y humano. Excelente jefe de grandes empresas familiares o internacionales.
</t>
  </si>
  <si>
    <t>Tu numero de raíz es 79</t>
  </si>
  <si>
    <t xml:space="preserve">Esta combinación es muy parecida al 16. Encerramiento, decepciones, desilusiones, problemas de familia y grandes conflictos laborales. Es muy rebelde pero sin una idea fija de lo que quiere realizar y sin elementos suficientes para hacerlo.
</t>
  </si>
  <si>
    <t>Tu numero de raíz es 80</t>
  </si>
  <si>
    <t xml:space="preserve">Combativo y ambicioso. Hay liderazgo, gran inteligencia, capacidad para toda clase de jefatura. Muy apto para la abogacía, el mundo de las finanzas y todo lo que significa el poder económico. A veces se muestra dominante y dispuesto a derrocar lo que considere ideas anticuadas. No conoce términos medios.
</t>
  </si>
  <si>
    <t>Tu numero de raíz es 81</t>
  </si>
  <si>
    <t xml:space="preserve">Este número por lo general brinda éxito en el terreno de los negocios y más todavía si se asocia con alguien tan capaz como él. Puede abarcar muchas cosas porque es universalista y tiene gran deseo de progreso. No deberá descuidar la parte espiritual que corresponde a todos los números nueve.
</t>
  </si>
  <si>
    <t>Tu numero de raíz es 82</t>
  </si>
  <si>
    <t>Tu numero de raíz es 83</t>
  </si>
  <si>
    <t>Tu numero de raíz es 84</t>
  </si>
  <si>
    <t>Tu numero de raíz es 85</t>
  </si>
  <si>
    <t>Tu numero de raíz es 86</t>
  </si>
  <si>
    <t>Tu numero de raíz es 87</t>
  </si>
  <si>
    <t>Tu numero de raíz es 88</t>
  </si>
  <si>
    <t xml:space="preserve">Si bien hay energía y fuerte temperamento, puede resultar antipático y altanero, creándose enemistades a cada paso. Le convendría ser más diplomático y cultivar el tacto para que no se derrumben sus audaces proyectos. Tiene una mente sutil pero demasiado personalista.
</t>
  </si>
  <si>
    <t>Tu numero de raíz es 89</t>
  </si>
  <si>
    <t xml:space="preserve">Número muy parecido al 17 pero con caminos llenos de piedras y sinsabores. El éxito puede venir, pero no con la facilidad que esperan con los tiempos que se hayan propuesto. Y esto se aplica tanto a nivel laboral como afectivo. La universidad de la vida le exigirá muchos exámenes y si persevera, llegará con muchas lastimaduras, pero llegará.
</t>
  </si>
  <si>
    <t>Tu numero de raíz es 90</t>
  </si>
  <si>
    <t xml:space="preserve">Posee una gran creatividad que puede ser usada en todo trabajo mental o profesional antes que en el comercio. No muy apto para sociedades, a menos que el otro no interfiera en sus planes. Bastante solitario y difícil de entender.
</t>
  </si>
  <si>
    <t>Tu numero de raíz es 91</t>
  </si>
  <si>
    <t>Tu numero de raíz es 92</t>
  </si>
  <si>
    <t xml:space="preserve">Persona muy complicada y de dobles intenciones. Depresivo e introvertido. No nació para puestos de avanzada. Puede caer en delincuencia si no hay alta moral. Debe ser guiado desde muy pequeño. Necesita mucha orientación.
</t>
  </si>
  <si>
    <t>Tu numero de raíz es 93</t>
  </si>
  <si>
    <t>Tu numero de raíz es 94</t>
  </si>
  <si>
    <t>Tu numero de raíz es 95</t>
  </si>
  <si>
    <t>Tu numero de raíz es 96</t>
  </si>
  <si>
    <t>Tu numero de raíz es 97</t>
  </si>
  <si>
    <t>Tu numero de raíz es 98</t>
  </si>
  <si>
    <t>Tu numero de raíz es 99</t>
  </si>
  <si>
    <t xml:space="preserve">Es discreto y trata de pasar inadvertido. Su falta de comunicación puede dejar sin efecto muchas de sus inquietudes. Se prevé una vida de luchas y caminos sinuosos. Es influenciable y propenso a desequilibrios emocionales. En el amor: fantasías y enamoramientos utópicos.
</t>
  </si>
  <si>
    <t>Esencia o deseo del alma</t>
  </si>
  <si>
    <t>Tu esencia o deseo de alma es 1</t>
  </si>
  <si>
    <t xml:space="preserve">El liderazgo conquistado en vidas anteriores provoca ahora en ti el deseo de continuar luchando por llegar a una conciencia superior. Te muestras independiente en lo que respecta a tus creencias. La libertad e independencia de pensamiento continúan constituyendo el objetivo de tus anhelos más internos. No dejes que ese potente impulso obstaculice la persecución de tus metas presentes. Permaneces siempre consciente de tu fuerza interior y así no te resulta difícil aceptar una posición secundaria entre tus compañeros, amigos o colegas. 
Si piensas en el matrimonio o en una asociación cualquiera, procura averiguar los anhelos internos de la otra persona, a fin de proteger el éxito de la relación. 
Si posees una individualidad muy fuerte, tal vez se te expreses en una actitud de mando, en búsqueda de tu felicidad personal. 
Tan estable es la intensidad de tu foco de atracción y tan fuerte la memoria de tus glorias pasadas que serás capaz de mantenerte firme en tus opiniones, incluso si estas no están de acuerdo con las de otras personas. Tu fuerza interior te provee de algo en qué confiar cuando el camino se vuelve difícil. Y puede que se presente como una fortaleza de inspiración para los demás en épocas de inseguridad.
</t>
  </si>
  <si>
    <t>Tu esencia o deseo de alma es 2</t>
  </si>
  <si>
    <t xml:space="preserve">Posees un gran deseo de paz y de armonía. La consideración y el tacto son unas de tus tantas cualidades,… adaptable y amable como pocos, serás con mayor frecuencia quien sigue y no así quien dirige. Por lo tanto, actuarás como agente buscando intermediar en disputas, contribuyendo a establecer la paz entre fuerzas opuestas. Aborreces herir los sentimientos de los demás, hasta el punto de subordinarte a sus deseos. En consecuencia, das la sensación de timidez y de falta de confianza en ti. Trata de superar la indecisión. Porque mientras vacilas, otros podrían aprovecharse de ti, y tomar aquello que por derecho te corresponde.
Atrévete a hacer lo que sabes que es justo y no permitas que las emociones calmen tus propósitos. Tu sensibilidad será positiva si la utilizas para sintonizarte con las fuerzas equilibradoras del universo y sacar a la luz verdades capaces de ayudar a todo el mundo a ganar en comprensión.
</t>
  </si>
  <si>
    <t>Tu esencia o deseo de alma es 3</t>
  </si>
  <si>
    <t xml:space="preserve">Hay mucho cuidado en lo que respecta a tus deberes. Conoces muy bien la ley de la Trinidad y sabes que la inspiración y la imaginación producen los mejores resultados cuando se utilizan para ayudar a otros, lo que puede fácilmente convertirse en tu filosofía de vida. “Obedece a tus impulsos de crear y desarrolla las actividades que te interesan. Cuando busques la felicidad, la vas a encontrar procurando la felicidad de alguien más. Si una persona se siente abatida, le bastará con consultarle para recobrar las esperanzas.
Propaga tus ideales, dedicándote a expresar el buen ánimo y el optimismo. Trabaja para convertir tus sueños en realidad, pero no hasta el límite de perder de vista el aspecto práctico de las cosas. El amor reviste gran importancia para vos, tanto al darlo como al recibirlo. Sin embargo, trata de contener tus expansiones amorosas. Te sentirás feliz y bien adaptado procurando la felicidad de otros seres.
</t>
  </si>
  <si>
    <t>Tu esencia o deseo de alma es 4</t>
  </si>
  <si>
    <t xml:space="preserve">Sabes organizarte bien, un rasgo que puede aportarte el éxito material. Tu sentido práctico impregna todo tu ser. Tal vez otros ajusten sus pautas de vida al bien ordenado programa de la tuya.
Tu lealtad, equilibrio y la confianza que inspiras significan mucho para quienes te rodean. Te saben estable en todas las cosas y sienten que en cualquier relación que inicien con vos, serán tratados justamente. Dado que tomas todas las cuestiones en serio, tanto en los negocios como en el amor, consigues muchas veces hacer de tus sueños realidad pero siempre de manera planeada y práctica.
</t>
  </si>
  <si>
    <t>Tu esencia o deseo de alma es 5</t>
  </si>
  <si>
    <t xml:space="preserve">Exiges el derecho a la libertad y no tolerarás limitación alguna a tus ideales o a tu modo de pensar. La diversidad en la auto-expresión te resulta absolutamente esencial. Té aburrirás sin el estímulo de los cambios y de los diversos puntos de vista en tu vida.
Los viajes se incluyen entre los deseos de tu alma, puesto que los consideras educativos y enriquecedores. No toleras la estrechez. Si adviertes que caes en la rutina, una excursión, un traje nuevo o unas vacaciones mejorarán tus vibraciones y te abrirán nuevos caminos para continuar tu proceso interior.
</t>
  </si>
  <si>
    <t>Tu esencia o deseo de alma es 6</t>
  </si>
  <si>
    <t xml:space="preserve">Reaccionas a la belleza, la armonía y la paz. Te muestras como una persona afectuosa, atenta y leal con aquellos a quienes amas. Tu misión puede radicar en enseñar a los demás a mantener la paz en sus vidas.
Entregarte a la búsqueda de la armonía doméstica puede ser tu ideal de vida. De todas las vibraciones amorosas de los diversos números, la tuya es la más fuerte, y puede hacerte culpable de un amor sofocante, ya que el deseo de vivir para tu familia es intenso. Debes aprender a permitir que los miembros de tu familia expresen sus propias aspiraciones en la vida, aunque no estén de acuerdo a las tuyas.
</t>
  </si>
  <si>
    <t>Tu esencia o deseo de alma es 7</t>
  </si>
  <si>
    <t xml:space="preserve">Puede que seas silencioso y reservado, de grandes pensamientos,… analíticos e intermediarios. Necesitas paz a tu alrededor y te molesta un ambiente ruidoso. 
Son tuyos los dones de refinamiento, sensibilidad, secreto y con frecuencia también aquellos que encierran poderes psíquicos. Lo cual muchas veces te lleva a vivir en soledad, alcanzando él más alto orden místico de la humanidad.
Tu verdadera naturaleza consiste en conservarte en calma, intensificar la profundidad de tu carácter y beneficiar a la humanidad mediante la filosofía.
</t>
  </si>
  <si>
    <t>Tu esencia o deseo de alma es 8</t>
  </si>
  <si>
    <t xml:space="preserve">Tu expresión clave es la ambición. Crees en el valor de la realización y no admites que ningún obstáculo se interponga en el camino hacia tus metas. Tu número no resulta fácil de manejar, pero los premios compensan tu esfuerzo. Te enfrentarás a una gran tarea, que te permitirá sobresalir de entre las multitudes. Posees la facultad de organizar con éxito grupos y empresas.
La psicología te ayudará a comprender a las masas con las que trabajes. 
Recuerda que la gente espera más de ti que del común de las personas, de manera que tendrá que confiar más en vos, para así, guiar y permanecer en la cumbre. 
El 8 es también el número de las grandes figuras deportivas
</t>
  </si>
  <si>
    <t>Tu esencia o deseo de alma es 9</t>
  </si>
  <si>
    <t xml:space="preserve">La intuición participa de manera muy activa en tu vida. Sensibilidad e imaginación, pueden llevarte a pensar en términos abstractos. Aunque a veces demuestres cierta indeterminación.
Necesitas recibir y dar amor. Hacer uso de tu bondad y compasión y con una conciencia expansiva, dedicarte a mejorar la humanidad. El 9 puede corresponder a alguien que fue un maestro o un iniciado en una vida anterior.
</t>
  </si>
  <si>
    <t>Tu esencia o deseo de alma es 11</t>
  </si>
  <si>
    <t xml:space="preserve">Ha seguido usted la vía espiritual por mucho tiempo, quizá durante más de una encarnación. A lo largo de su evolución espiritual, ha aprendido muchos de los enigmas de la vida y de la muerte. Tiene valor, talento y capacidad de mando.
Es comprensivo, juicioso, intuitivo y con frecuencia clarividente, con unas facultades de percepción extrasensorial muy marcadas e intensas tendencias espirituales. Posee también la fortaleza precisa para luchar contra las adversidades.
</t>
  </si>
  <si>
    <t>Tu esencia o deseo de alma es 22</t>
  </si>
  <si>
    <t xml:space="preserve">Conoces el mundo y la esencia en su locura,  quizás en vidas pasadas hayas conocido el universo con unos ojos y ahora deseas verlo de otra manera
Eres visionarios, extravagantes, único con grandes deseos de crecimiento, creación y sobre todo de trascendencia. Aunque eso no quita que seas una persona cálida, amorosa, compasiva, sensible y con marcadas tendencias al romanticismo, con ciertas estructuras y reglas, aunque no tan rígidas como las que confiere al número 4. Es probable que desde pequeños se notara en ti una conciencia de sobre manera, como la de amar a los animales, a negarte a comer carne, sufrir por los desamparados, etc. Estas cualidades, a menudo desaparecen con los años, si no son potenciadas o alentadas.
</t>
  </si>
  <si>
    <t>Tu esencia o deseo de alma es 33</t>
  </si>
  <si>
    <t xml:space="preserve">Estás lleno de ideas e inquietudes artísticas, intelectuales y espirituales, pero la más importante y la más fuerte de tus motivaciones será la del maestro que siente la necesidad de llevar sus conocimientos y su propia luz a los demás.
El 33 representa el ideal del AMOR en su más pura expresión, esto es, no sólo el amor a las personas de su entorno, sino el que abarca a todos los seres humanos. El amor que significa entrega, sacrificio y compasión. Por ello tu esencia al igual que el número será revolucionaria.
</t>
  </si>
  <si>
    <t>Tu esencia o deseo de alma es 44</t>
  </si>
  <si>
    <t xml:space="preserve">Prudente, sereno, honrado y amante del orden, profesas un verdadero culto a la justicia y la eficacia. Tus ideales abarcan todo el aspecto de las actividades humanas y gracias a un trabajo tenaz e incansable y a una enorme disciplina, puedes llegar a convertirte en un auténtico conductor de hombres que construyen un mundo mejor.
Lo único que compensará tu dedicación, será saber que has cumplido con la tarea que has elegido y para la cual has sido preparado. El bien que haces y la confianza que inspiras te ayudarán a sobrellevar los problemas e ingratitudes.
</t>
  </si>
  <si>
    <t>Imagen o personalidad</t>
  </si>
  <si>
    <t>Tu imagen o personalidad es 1</t>
  </si>
  <si>
    <t xml:space="preserve">Tu imagen es la de líder. Proyectas iniciativa, valor y originalidad. Los que te rodean ven en vos a alguien capaz de cuidarse a sí mismo. Tanto por tus aspectos como por tus modales, rara vez pasas de inadvertido.
Tienes un aura que impacta favorable o desfavorablemente sobre quienes te conocen. Siempre pareces gozar de seguridad. Algunas veces te puedes hacer de enemigos por tu temperamento impetuoso y por tu delirio a la hora de lograr lo que deseas, sin importarle los sentimientos o planes de los demás.
Nunca pareces necesitar ayuda. Te defines por el coraje y la búsqueda permanente de desafíos. De apariencia dominante y fuerte.
</t>
  </si>
  <si>
    <t>Tu imagen o personalidad es 2</t>
  </si>
  <si>
    <t xml:space="preserve">Proyectas la imagen de un camarada, siempre a disposición de ayudar a los demás. Demuestras un espíritu parlamentario y tienes la habilidad de dar excelentes consejos.
Los demás ven en ti una persona templada, algo tímida, que no suele tomar la iniciativa, sino que espera que sea otro el que dé el primer paso.
Quienes te conocen, se sienten inmediatamente cómodos en tu compañía y enseguida captan tu espíritu conciliador y pacífico. Seleccionas la ropa poco llamativa, lo que demuestra tu estilo a no ser el centro de atención.
</t>
  </si>
  <si>
    <t>Tu imagen o personalidad es 3</t>
  </si>
  <si>
    <t xml:space="preserve">La primera impresión que produces es la de una persona deslumbrante, ingeniosa y feliz. Tu creatividad es muy marcada. Proyectas amor por la vida y un gran frenesí por divertirte.
Sabes cómo hacer reír a quienes te rodean. Necesitas estímulo permanente; si no, te aburres y eso se te nota de inmediato. Eres muy sociable y de conversaciones agradables, por eso brillas en los círculos sociales y grupos. Das la imagen de una persona que tiene buena suerte. Despiertas simpatía en el entorno por tu expresividad y trato amistoso y sueles ganar popularidad de inmediato.
Te resulta muy fácil comunicarse con los demás. Tienes magnetismo y una magia personal. Sueles ser llamativo en cuanto a tu forma de vestir, sobre todo por los accesorios y adornos que escoges.
</t>
  </si>
  <si>
    <t>Tu imagen o personalidad es 4</t>
  </si>
  <si>
    <t xml:space="preserve">Quienes te conocen ven en vos a una persona organizada, que actúa de manera práctica ante las dificultades, disciplinada, y trabajadora nata. Proyectas estabilidad emocional y autocontrol.
Tienes un gran sentido del detalle y te desempeñas a la perfección en tareas rutinarias. Tu personalidad es conservadora. Prefiere lo natural a lo artificial y das la imagen de una persona predecible pero sólida. Tu apego a la rutina es uno de los rasgos que más te distinguen.
Das la impresión de tener los pies en la tierra y pareces una persona incapaz de una situación teatral (por celos, enojos, etcétera). Tu sentido práctico también se ve en el atuendo que escoge, ya que usa prendas deportivas, cómodas y de calidad.
</t>
  </si>
  <si>
    <t>Tu imagen o personalidad es 5</t>
  </si>
  <si>
    <t xml:space="preserve">Lo primero que se ve de ti es tu versatilidad. Pareces una persona con aptitudes para un gran número de cosas. Eres rápido en tus reacciones y muy entusiasta. Quiere probar todo lo nuevo.
El sexo opuesto te encuentra atrayente, aunque difícil de conquistar, ya que siempre estás en busca de la libertad. Por esa razón, generas duda en cuestiones sentimentales. Quienes te conocen ven en ti a un “trotamundos”, una persona interesante que vive de una manera diferente y que sabe aprovechar las oportunidades.
Tu imaginación y sentido del humor te convierten en el centro de atención. 
Te vistes llamativamente.
</t>
  </si>
  <si>
    <t>Tu imagen o personalidad es 6</t>
  </si>
  <si>
    <t xml:space="preserve">Das la imagen de alguien creativo y responsable a la vez, proyectas armonía y equilibrio. Demuestras amor por la belleza. En cuanto al plano laboral se ve en vos a alguien que se integra muy bien en un mecanismo del trabajo.
Muestras disposición a la docencia. El hogar es el sitio donde te sientes más feliz y allí es donde te sientes como “amo y señor”. A veces se te suele ver demasiado ansiosa pero por lo general sos alguien que muestra tener todo bajo control. 
Te vistes con colores poco provocadores, pero te esmeras para combinarlos con buen gusto y armonía.
También te preocupas por la apariencia de tu hogar, donde cuidas hasta el último pormenor con orden y cuidados.
</t>
  </si>
  <si>
    <t>Tu imagen o personalidad es 7</t>
  </si>
  <si>
    <t xml:space="preserve">Tienes un gran control sobre ti, de sangre fría y te ves como una persona muy independiente. Siempre pareces estar pensando en cosas profundas y esto hace difícil conocerte.
Acompañado por la soledad y la prudencia, rara vez revelas lo que estás pensando o lo que sientes. No aceptas consejos y buscas siempre hacer lo que deseas. Cuidado porque esa actitud a veces podría ser interpretada como presunción. Los demás ven en ti a alguien que destaca por su inteligencia y sabiduría.
Destacas por tus maneras refinadas y por tu reserva. Te vistes con corrección y prefieres los colores oscuros. Aunque no le prestas demasiada atención a los detalles en tu imagen física.
</t>
  </si>
  <si>
    <t>Tu imagen o personalidad es 8</t>
  </si>
  <si>
    <t xml:space="preserve">Te ves como un ser fuerte, seguro y muy capaz. Proyectas una imagen de autoridad en todo lo que haces. Pareces siempre estar ambicionando algo y determinando el éxito en la vida. Tus objetivos siempre están claros y definidos.
Eres tenaz y amable, aunque tu punto débil podría ser la desproporción de materialismo que demuestras. Asimismo, exhibes una necesidad de tener todo bajo control. Destacas por tu pericia amistosa, persuasiva y dominante. Físicamente proyecta una imagen de fuerza y resistencia.
En cuanto a tu ropa, eliges prendas de muy buena calidad. Te preocupas mucho por tu apariencia y cuidas hasta el último detalle.
</t>
  </si>
  <si>
    <t>Tu imagen o personalidad es 9</t>
  </si>
  <si>
    <t xml:space="preserve">Se ve en ti una persona de mente abierta, que se interesa por todo y por todos. Autónoma y creativa, tu presencia dinámica despierta atracción en quienes te rodean.
Carisma y humanidad. Tus puntos de vista sobre diversos temas muestran tu singularidad y falta de convencionalismos. Te distingues por tu nobleza y generosidad. Aunque puedes tener arranques de mal genio.
Tienes modales encantadores, que despiertan una confianza instantánea en las conversaciones; eres afable y llano en el trato. Tu ropa es elegante y de calidad.
</t>
  </si>
  <si>
    <t>Tu imagen o personalidad es 11</t>
  </si>
  <si>
    <t xml:space="preserve">Supone usted una inspiración para los demás, le ven con un refinamiento y un gusto artístico que conmueve el fondo de su alma. Prefiere las artes de vanguardia y parece encarnar las técnicas innovadoras y fuera de lo corriente. Muy probablemente, sus esfuerzos artísticos y humanitarios le atraerán el prestigio y la fama.
Surge ante los demás como el iluminado que cree en la igualdad de oportunidades para todos, sin tener en cuenta el sexo, la raza, el credo o el color. Sin embargo, su idealismo puede degenerar en egocentrismo, en cuyo caso sus muchos talentos se disiparán o quedarán inactivos. Entonces su mente buscará para su genio salidas poco saludables, pero capaces de proporcionarle popularidad. Sus ojos emiten un brillo espiritual, que impulsa a los demás a perfeccionar sus capacidades potenciales cuando presencian lo que usted ha logrado.
Se viste con un estilo original. Incluso llega a diseñar su propia ropa, ya que posee el sentido artístico y la inventiva suficientes y prefiere distinguirse de los demás.
</t>
  </si>
  <si>
    <t>Tu imagen o personalidad es 22</t>
  </si>
  <si>
    <t xml:space="preserve">La primera imagen que das es la del loco. Te muestras como alguien creativo, con una energía que nunca te faltara, único, distinto,…
La fuerza que muestras va dirigida especialmente, aunque no únicamente, a la consecución de logros materiales y das la sensación de que puedes alcanzar posiciones muy destacadas en el mundo dondequiera que te desenvuelvas.
Con una gran fortaleza, perseverancia, empuje y capacidad de realización 
</t>
  </si>
  <si>
    <t>Tu imagen o personalidad es 33</t>
  </si>
  <si>
    <t xml:space="preserve">El numero que emana paz.
El 33 nos habla del equilibrio de las cualidades morales y espirituales y de hecho, la paz que emanas de tu persona atraerá especialmente a las personas angustiadas o desorientadas.
Te verán cómo alguien soñador e idealista, con una notable percepción e intuición que te permite entrever y explorar los mundos ocultos, la mística y los fenómenos paranormales. Tus creencias, acciones y reacciones estarán siempre inspiradas por tu elevada envergadura moral.
Te muestras como una persona muy dependiente de tu familia, hay tal punto que podrías sacrificar muchas cosas por ella.
</t>
  </si>
  <si>
    <t>Tu imagen o personalidad es 44</t>
  </si>
  <si>
    <t xml:space="preserve">Con grandes metas de vasto alcance personal y comunitario.
Te ves como alguien que no se conforma con poco, alguien extraordinario con grandes metas en la vida. Que sabe afrontar los obstáculos a medida que se van presentando, conciliando caracteres y puntos de vista antagónicos, o encontrado ingeniosas soluciones para los problemas que otros no pueden resolver. Te ves, en otras palabras, como un dirigente nato con gran capacidad de análisis y razonamientos y total control sobre tu cuerpo y tu mente.
</t>
  </si>
  <si>
    <t>Destino o misión</t>
  </si>
  <si>
    <t>Tu misión o destino es 1</t>
  </si>
  <si>
    <t xml:space="preserve">Personificas el verdadero «Yo», consciente de ti como centro de tu mundo, ocupando tus propios deseos y buscando la auto conservación por encima de todo. Utilizas tus recursos para tu propio goce y te interesas poco por las necesidades de tus semejantes, lo cual no es necesariamente malo, puesto que te encuentra aquí para realizarte.
Sin embargo, no debes permitir que eso te arrastre hasta el límite del egoísmo. Considérate como un recién llegado al plano terrestre, donde todos deben aprender las primeras enseñanzas. Los términos que pronuncias con mayor frecuencia son «yo» y «yo soy». La jerarquía constituye la palabra clave y debes aceptar el destino de mandar mientras que otros te obedecen.
Tu propia e independiente iniciativa te ayudará a conseguir el triunfo, gracias a tu osadía de mantenerte firme en tus creencias, incluso bajo imposición. Demostrando confianza en ti mismo y en tu capacidad de triunfar, obtendrá el éxito en cualquier caso.
</t>
  </si>
  <si>
    <t>Tu misión o destino es 2</t>
  </si>
  <si>
    <t xml:space="preserve">Tu aspiración de paz te empuja a adoptar el papel de “mediador”. Tu destino tal vez te conduzca a proceder como un juez de buena voluntad, con lo que favorecerás a todo el género humano. Utilizaras tu tacto innato y tu arte diplomático para resolver las situaciones difíciles. Una misión de árbitro supone un don mágico para crear un mundo mejor.
Posees asimismo un agudo sentido de los opuestos, lo que te permite desarrollar tus aptitudes por el camino de la creación. Estimulando esa conciencia, no sólo llevarás al límite tu potencial artístico, sino que alentarás tus cualidades como una persona mediadora y como una beneficiosa compañía. Te convertirás en parte integrante de la organización o del grupo a que te afilies.
</t>
  </si>
  <si>
    <t>Tu misión o destino es 3</t>
  </si>
  <si>
    <t xml:space="preserve">Posees virtudes que te abren una amplia gama de ocupaciones o pasatiempos. Tu destino consiste en elevar e inspirar a los demás. Deberías dedicarte al teatro y desenvolver tu capacidad de expresión y comunicación a través del arte dramático, la oratoria o los idiomas. Explora las artes. Estudia las religiones del mundo. Eso te valdrá para encauzar tus energías, puesto que siente una inclinación natural hacia las filosofías espiritualistas. Tu labor puede abarcar desde la terapia aplicada a otros hasta el perfeccionamiento personal.
Si desea realizarte con éxito, emplea tu tiempo prudentemente. No disperses tus energías en demasiadas direcciones a la vez, con lo que pospondrías el cumplimiento de tu verdadero destino. Promueva la amistad entre tus semejantes, comportándote como un amigo cuando se necesita un amigo. Derrocha energía y alegría mediante tu capacidad de auto-expresión. Conserva la confianza como marca personal.
</t>
  </si>
  <si>
    <t>Tu misión o destino es 4</t>
  </si>
  <si>
    <t xml:space="preserve">Tu destino consiste en conseguir productos útiles y tangibles. Necesita percibir esos productos. El 4 es el constructor del mundo, la roca sobre la que se ha formado toda sustancia terrestre. Gozas de un pensamiento bien estructurado y sabes desenvolverte con eficiencia en tu situación particular. Emanas una sensación de seguridad. En consecuencia, los demás confían en ti para obtener un trabajo realizado con eficacia y exactitud. Operas bien con el dinero y encontrarás en el mundo financiero un campo fértil para tus talentos.
Tus palabras claves son impaciencia, honradez, determinación y confianza. Exige acatamiento a tu familia y cumplirás tus deberes con abnegación, ya sean reales o imaginarios. Tu afinado sentido de los valores te hace aborrecer lo mediocre. Sabes que aquello que vale realmente la pena merece que se trabaje y se espere para lograrlo.
</t>
  </si>
  <si>
    <t>Tu misión o destino es 5</t>
  </si>
  <si>
    <t xml:space="preserve">En tu vida se producirán muchos cambios, y tu cometido bien puede radicar en promover el progreso mediante una aceptación voluntaria del cambio. Por definición, no te aferras al orden establecido ni profesas ideas o principios añejos. Estás deseoso de acoger nuevos conceptos y nuevos modos de comprensión, y de proclamar nuevas formas de hacer las cosas.
Posees la capacidad de presentar lo nuevo en términos lógicos y aceptables. Escalonas los cambios y los aprovecha inteligentemente como experiencias enriquecedoras. Sin embargo, no olvidas los acuerdos, puesto que en realidad no eres un rebelde. Te limitas a proponer nuevas ideas para favorecer la ilustración.
Posees el valor y la voluntad necesarios para separarte de lo viejo y experimentar con lo nuevo. Conversas de manera muy fluida y expresiva, y sin duda encontrarás en la escritura, las conferencias o los negocios una excelente salida para esos talentos.
</t>
  </si>
  <si>
    <t>Tu misión o destino es 6</t>
  </si>
  <si>
    <t xml:space="preserve">El 6 es una vibración doméstica. Te gusta la casa y la vida familiar. Eres el prototipo de la persona casada, tu principal interés se centra en la familia. Moralmente, sensible, respetable, veraz y noble. Te agradan la comodidad y una vida de lujos. Grandes amigos y mundo de gentes a tu alrededor, buen huésped. Posees con orgullo cada uno de tus bienes y te agrada exhibir los talentos y los logros de tu familia.
Deberías disciplinar tus dotes artísticas, de manera que te permitan compartir con otros tú sentido estético y tu apreciación de la belleza. Muchos famosos artistas funcionaron bajo esta vibración, expresando todo lo que había en el fondo de sí mismos y eternizando su amor por sus semejantes a través de sus trabajos.
</t>
  </si>
  <si>
    <t>Tu misión o destino es 7</t>
  </si>
  <si>
    <t xml:space="preserve">La profundidad de tu carácter y tu seriedad te destinan a ser un profesor de ética. Separas mentalmente lo verdadero de lo falso y puedes descubrirte revelándolos al mundo, que espera algunos de los secretos de la vida. Llegarán a ser el pensamiento, la filosofía, la ciencia, el misticismo o el fanatismo religioso, tus herramientas y cuyo destino ya están en tu mente. Algunos te supondrán extraño y difícil de comprender, pero seguirán tus enseñanzas y buscarán tu consejo cuando se sientan turbados, Tu ejemplo y tu imagen pueden beneficiar a toda una colectividad, incluso al mundo entero.
Encuentras fuerza en la soledad, sabiduría en los momentos de silencio, y fortaleza en el conocimiento de tu persona. En los tiempos antiguos, los nacidos bajo el número 7 eran llevados al templo para convertirse en sacerdotes o sacerdotisas, ya que todos comprendían sus poderes mentales. Despliega esos poderes mentales. El mundo se beneficiará de ellos.
</t>
  </si>
  <si>
    <t>Tu misión o destino es 8</t>
  </si>
  <si>
    <t xml:space="preserve">Posees un asombroso valor y una gran resistencia y alcanzarás tus metas por tu propio esfuerzo. El destino te depara la reputación, el éxito y la riqueza. La constancia en tu profesión y largas horas de trabajo intenso, sostenido por la ambición, te conducirán a altos puestos ejecutivos en el campo que haya optado. Una posición inferior te parecerá inaceptable. Sin embargo, necesitas armonizar tus fuerzas materiales con las espirituales y lograr el dominio en ti antes de alcanzar y conservar la posición que ves como la obra de tu vida.
Ciertas personas con esta vibración numérica utilizan su extraordinario vigor y resistencia en los deportes, llegando a ser destacados atletas. Expresan su determinación de alcanzar la cima en los deportes, en lugar de hacerla en el mundo de los negocios. No obstante, muchos atletas célebres acaban por dedicarse a los negocios cuando su carrera deportiva se ha consumado.
</t>
  </si>
  <si>
    <t>Tu misión o destino es 9</t>
  </si>
  <si>
    <t xml:space="preserve">La perfección es tu meta, pero raras veces la conseguirás en este plano de vida. Te corresponde una misión caritativa. Quizás te topes con muchas pruebas y contrariedades, pero la lección del perdón atenuará esas situaciones. Tu yo, más desarrollado, más probado, es apto para soportarlas, de modo que sabrás guardar el equilibrio. Te esfuerzas por vivir el ideal que se ha fraguado en la vida y esperas infundir a los demás en el mismo sentido. Deseas reformar el mundo mediante la filosofía y la filantropía y te asusta cuando se retrasan los resultados. Te hace falta percibir que la evolución sólo se cumple en largos ciclos de tiempo.
Durante tu vida conocerás a mucha gente famosa, que se sentirá impresionada por la holgura de tus pensamientos. Ha de aprender a no encasillarte a las viejas asociaciones. Cuando hayas cumplido tu papel con un sujeto, debes pasar a otro. No puedes delimitarse a un menudo círculo de amigos. Su comprensiva filosofía ha de lograr e iluminar la vida de muchos individuos.
</t>
  </si>
  <si>
    <t>Tu misión o destino es 11</t>
  </si>
  <si>
    <t xml:space="preserve">Su don profético lo coloca en posición de entregarse por completo al servicio de la humanidad, una meta difícil de obtener, que acaso logre ocupándose de dirigir los asuntos públicos o cívicos de su comunidad y logrando así mejores niveles de vida para los más desdichados. Su vocación le conducirá tal vez a auto expresarse en la escena o la pantalla, o bien como un dinámico predicador o maestro. En cuanto a su norma de conducta, debe situarse por encima de lo normal.
Le aguardan la fama y el prestigio en aquello a lo que se dedique y, dado que esta vibración confiere un gran potencial creativo, optará sin duda las artes o una profesión que requiera dotes inventivas. Posee la capacidad de acceder a las fuentes creativas e infundirá en su trabajo un toque de inspiración, capaz de conmover las almas de aquellos que entren en contacto con cualquier cosa que usted cree. Y en su caso, se trata de la verdadera inspiración.
</t>
  </si>
  <si>
    <t>Tu misión o destino es 22</t>
  </si>
  <si>
    <t xml:space="preserve">Marca un destino muy difícil de alcanzar, si no te enfocas en el aspecto constructivo de cada uno de tus actos, deberás buscar la consecución de logros materiales o el alcanzar posiciones destacadas en el mundo de las finanzas, la política, la industria, el arte, o dondequiera que te desenvuelvas.
Expresaras tu valor a través de cuanto poseas, pero no dejes que tu ambición material interfiera con la tarea de evolucionar, volviéndote mezquino y mediocre, con estrechez mental y rigidez en extremo. Desarrolla el tacto y tu capacidad de organización, buscar el éxito colectivo en lugar del individual. Esfuérzate por una vida constructiva y armónica. Y tu destino será único.
</t>
  </si>
  <si>
    <t>Tu misión o destino es 33</t>
  </si>
  <si>
    <t xml:space="preserve">Estos maestros espirituales se inclinan hacia lo religioso y místico. Suelen llegar a ser grandes profetas y comunicadores de las verdades ocultas en las palabras sagradas de las diferentes religiones. Si bien pregonan las doctrinas, corren peligro de convertirse en fanáticos fundamentalistas, pues su dedicación a la causa es total y muestran una devoción sin límites. Es un número frecuente en los santos y los mártires, como también en sacerdotes y pastores.
Es el número del redentor, un número de pruebas. El posee algo de los dioses, que guarda internamente. Necesita estar rodeado de belleza y armonía, y sobre todo de un grupo propio (familia, amigos,…) que le de ese sentimiento de pertenencia para lograr alcanzar sus metas.
</t>
  </si>
  <si>
    <t>Tu misión o destino es 44</t>
  </si>
  <si>
    <t xml:space="preserve">Este número es el más exigente de todas las cifras maestras y pocas personas pueden soportarlo sin sucumbir a las tentaciones mundanas. Pide a quien lo lleve en su nombre un total espíritu de sacrificio y la máxima devoción espiritual. Se dice que otorga dominio sobre la materia.
Una persona con un poder enorme. Necesita manejar muy bien este poder. Y manejar el poder no es ir sometiendo. El dinero es uno de sus vastos recursos, pero deberá aprender que este es solo un medio mas y nunca un fin.
La persona que tiene dicho número ha recorrido 2 veces el sendero de la experiencia física. Demostrando un absoluto dominio y triunfo. Aunque es muy poco probable que estas personas logren alcanzar su misión sin perderse en el camino.
</t>
  </si>
  <si>
    <t>De donde proviene tu Destino</t>
  </si>
  <si>
    <t>1 y 9</t>
  </si>
  <si>
    <t xml:space="preserve">Carácter, coraje y heroísmo. Es una naturaleza intrépida y apasionada. Muy impulsivo. Suele ser muy irritable. Tiene gran vitalidad. Sus dolencias son violentas. Es altanero y dominante. Pero al mismo tiempo generoso y digno. Batallador, pleitista y temerario. Impaciente. Gastador y confiado.
</t>
  </si>
  <si>
    <t>9 y 1</t>
  </si>
  <si>
    <t>2 y 8</t>
  </si>
  <si>
    <t xml:space="preserve">Naturaleza tímida, desconfiada y triste. Quejoso, infeliz y doliente. Autocompasivo. Complejo persecutorio. Trae angustias, soledad y retraimiento. Representa inquietudes y miserias. Es enemigo de las bullas y el regocijo. Casi nunca ríe. La combinación trae también avaricia. Es melancólico y taciturno. Enemigo del matrimonio. Encuentra obstáculos en todo lo que emprende. 
</t>
  </si>
  <si>
    <t>8 y 2</t>
  </si>
  <si>
    <t>3 y 7</t>
  </si>
  <si>
    <t xml:space="preserve">Disposición artística, religiosa y amable. Muy dado a hacer el bien. Tiene mucha intuición. Ama el colorido y las formas. En su mente hay grandes planes financieros. Perdona y olvida. Es sociable, elegante, equilibrado y le halaga que lo admiren. En amor se muestra afectuoso y considerado. Casero y seguidor de las tradiciones. Bastante derrochón. Hay augurio de protección femenina, por su agradable y fino trato.
</t>
  </si>
  <si>
    <t>7 y 3</t>
  </si>
  <si>
    <t>4 y 6</t>
  </si>
  <si>
    <t xml:space="preserve">Idealismo y Romanticismo. Muy sensible y emotiva. Dramática y al mismo tiempo alegre. Es original e independiente. Augura amores infelices, chismes, separación y escándalo. Suele abandonar el hogar, para correr en busca de placeres.
</t>
  </si>
  <si>
    <t>6 y 4</t>
  </si>
  <si>
    <t>2 y 9</t>
  </si>
  <si>
    <t xml:space="preserve">Irritabilidad, colera y deseo aventurero. Cuestionador, perverso y destructivo. Persona viciosa, vengativa y cruel. Es revoltoso, matón, incrédulo e irreligioso. Inclinado al mal, por naturaleza. Puede robar y hasta matar. La estafa también es su arma predilecta. También delincuente sexual, mentiroso y brutal. 
</t>
  </si>
  <si>
    <t>9 y 2</t>
  </si>
  <si>
    <t>3 y 8</t>
  </si>
  <si>
    <t xml:space="preserve">Un carácter profundo, estudioso y religioso. Gran reflexión. Es económico, honesto y conservador. Digno de toda confianza. Desinteresado y amante de la concordia. Tolerante y magnánimo. Individual en el pensar. Es inventivo, escritor y algo soñador. Considera al dinero sólo un medio. Muy buen amigo. En amor no se muestra muy afectuoso. 
</t>
  </si>
  <si>
    <t>8 y 3</t>
  </si>
  <si>
    <t>4 y 7</t>
  </si>
  <si>
    <t xml:space="preserve">Inspiracion, aunque algo iluso y soñador. Es persona que vale, porque hay genio latente. Hay mucha facilidad de expresión. Es dominador. Altruista y sentimental. Excelente artista. Amigo de las fiestas y el bullicio. 
</t>
  </si>
  <si>
    <t>7 y 4</t>
  </si>
  <si>
    <t>5 y 6</t>
  </si>
  <si>
    <t xml:space="preserve">Gracia y elegancia. Coquetería (en la mujer), es afectuoso y alegre. Idealista. Muestra refinamiento en sus gustos y modo de vida. Instruido. Conservador. Amante de la música y de la belleza en todas sus formas. Amigo de la gente. Justo y prudente. Trabajador agradecido. Bueno y amante cónyuge. Suele ser bastante afortunado en la vida.
</t>
  </si>
  <si>
    <t>6 y 5</t>
  </si>
  <si>
    <t>1 y 2</t>
  </si>
  <si>
    <t xml:space="preserve">Ambicion, conservacion, y concentracion. (Inerte e indiferente, si no hay moral desenvuelta.) Es tenaz y decidido en los propósitos. No soporta la blandura. Hay honor e intelecto. Es prudente, consejero. De penetrante entendimiento. Libertad sobre todo. Es muy lógico. Primero “ver... para creer”. Económico. Sobrio.
</t>
  </si>
  <si>
    <t>2 y 1</t>
  </si>
  <si>
    <t>3 y 9</t>
  </si>
  <si>
    <t xml:space="preserve">Entuciasmo y liberalidad, aunque puede ser atrevido, impulsivo y presumido. De fuerte personalidad. Rebelde, duro y extremista. Es insensible al dolor ajeno. Ama el poder y no le importa jugar sucio, con tal de satisfacer su sed de dominio. También es impaciente e impúdico, embustero, perjuro e incrédulo. Hay orgullo y vanidad y una fuerte inclinación a los bajos placeres. 
</t>
  </si>
  <si>
    <t>9 y 3</t>
  </si>
  <si>
    <t>4 y 8</t>
  </si>
  <si>
    <t xml:space="preserve">Gran poder de contemplación, ambición y energía mental. Es persona que sabe lo que quiere. Posee mucha imaginación. Es ingenioso y de concentración. Muy tenaz. Pone alma y corazón en sus empresas. No es blando y suele usar a los demás. Buscador del éxito y del prestigio. Se destaca como hábil diplomático. El hogar no lo atrae demasiado.
</t>
  </si>
  <si>
    <t>8 y 4</t>
  </si>
  <si>
    <t>5 y 7</t>
  </si>
  <si>
    <t xml:space="preserve">Naturaleza intuitiva. Simpático y visionario, pero anormal a veces. No es práctico. Aborrece el mal. Busca cariño y comprensión. No tiene confianza propia. Le preocupa mucho su porvenir, pero no halla cómo solucionarlo, por su falta de realidad. Es comprensivo y bondadoso. Si se enferma no recupera fácilmente la salud. Tiene aspecto etéreo.
</t>
  </si>
  <si>
    <t>7 y 5</t>
  </si>
  <si>
    <t>1 y 3</t>
  </si>
  <si>
    <t xml:space="preserve">Altivez, liberalidad, honestidad. Es magnánimo. Muy ambicioso. Augura éxito social y favores de superiores. Tiende a la ostentación. Es bromista, jovial. Derrochador sin límites, poco apto para alcanzar puestos de jerarquía. Es autoritario y defensor del orden establecido. Gran confianza en sí mismo. Es persona fecunda, amigo de la sabiduría y la paz. Promete dicha.
</t>
  </si>
  <si>
    <t>3 y 1</t>
  </si>
  <si>
    <t>4 y 9</t>
  </si>
  <si>
    <t xml:space="preserve">Extremismo, de gran energía latente. Excéntrico e inconstante. Violento y vagabundo. Reservado. Fanático y peligroso. Está sujeto a ataques armados y a accidentes. Donde pisa, produce enemistades, calumnias y traiciones. Es combinación de robos, crímenes y muertes violentas. Es mentiroso, revoltoso, estafador y violador. 
</t>
  </si>
  <si>
    <t>9 y 4</t>
  </si>
  <si>
    <t>5 y 8</t>
  </si>
  <si>
    <t xml:space="preserve">Diplomacia y reservacion. Prudente, serio y metódico. Paciente, aprehensivo y económico. Pero poco feliz en las empresas, debido a su desconfianza en todo. Causa disgustos, tristezas, soledad. Obstáculos y lentitud. Amigo de las cosas ocultas, del estudio y de las rarezas. Apasionado por el juego. Aunque laborioso y sabio consejero. 
</t>
  </si>
  <si>
    <t>8 y 5</t>
  </si>
  <si>
    <t>6 y 7</t>
  </si>
  <si>
    <t xml:space="preserve">Paz. Médium. Amoroso e inspirado. Dificultades en el amor. Ilusiones sexuales. Sincero. Ama el campo y la libertad. Mal proveedor de hogar. Tiene doble personalidad, y hasta él mismo queda desorientado. No admite jamás el estar equivocado. Tiene poca confianza propia. Es soñador. Sólo favorable para gran moralidad desenvuelta.
</t>
  </si>
  <si>
    <t>7 y 6</t>
  </si>
  <si>
    <t>1 y 4</t>
  </si>
  <si>
    <t xml:space="preserve">Originalidad, independencia y terquedad. Con tendencias reformadoras y revolucionarias. Posee poderoso magnetismo. Desfavorable en la mujer, porque causa desórdenes nerviosos y amores románticos. Espera que el dinero venga solo. Es capaz, responsable. Intelectual. Algo excéntrico. Muy tolerante.
</t>
  </si>
  <si>
    <t>4 y 1</t>
  </si>
  <si>
    <t>2 y 3</t>
  </si>
  <si>
    <t xml:space="preserve">Simpatia y flexibilidad. Generoso y caritativo. Confiado y lleno de esperanzas Feliz en sus empresas. Tiene buen humor. Es maduro y franco. Ama a la gente y esta lo respeta. Hay gran integridad moral. Es buen dirigente. El éxito suele llegarle algo tardío. Filósofo. Leal. Enérgico y capaz. Pero para actuar positivamente, necesita “luz verde”... 
</t>
  </si>
  <si>
    <t>3 y 2</t>
  </si>
  <si>
    <t>5 y 9</t>
  </si>
  <si>
    <t xml:space="preserve">Un carácter emprendedor e industrioso. Combativo, irritable, exagerado. Discute todo. Es rebelde y deshonesto. No consuela jamás a nadie. Hay crueldad, vicios, odios. Altanería y ansias de dominio. Es vengativo, traicionero y pendenciero Muy impulsivo y aficionado a azar.
</t>
  </si>
  <si>
    <t>9 y 5</t>
  </si>
  <si>
    <t>6 y 8</t>
  </si>
  <si>
    <t xml:space="preserve">Pasion. Sensual, impetuoso, sociable y osado. Feliz en amor y negocios. Correcto en el trato y la palabra. Es justo y prudente. Elegante, agradable. Goza de protección femenina. Es tierno y cariñoso. Suele ser muy buen esposo y padre. No le agrada soportar el infortunio.
</t>
  </si>
  <si>
    <t>8 y 6</t>
  </si>
  <si>
    <t>1 y 5</t>
  </si>
  <si>
    <t xml:space="preserve">Una disposición ambiciosa, ingeniosa y activa. Es adaptable y estudioso. Le interesa la literatura. Muy detallista y de gran memoria. Posee una mente práctica. Tiene poco tacto en su trato con los demás. Es decente, pacífico y honesto. Le agrada la variedad. Casi siempre hay una doble personalidad. Tiene cambios de ánimos repentinos e inexplicables.
</t>
  </si>
  <si>
    <t>5 y 1</t>
  </si>
  <si>
    <t>2 y 4</t>
  </si>
  <si>
    <t xml:space="preserve">Una disposición variable. Investigador. Excéntrico, impresionable y muy nervioso. Hay peligro de ruina por falsas amistades y afectos inconvenientes. Sensacionalista y dramático. Le agradan los viajes y las aventuras de todo género. Posee una gran imaginación, y a veces, tiene el don de la profecía. Siempre tiene motivos de preocupación, especialmente sobre su salud.
</t>
  </si>
  <si>
    <t>4 y 2</t>
  </si>
  <si>
    <t>6 y 9</t>
  </si>
  <si>
    <t xml:space="preserve">Sensualismo. Pernicioso. Rudo e inmoral. Antipático y mentiroso. Hay perversión. Es traicionero, inclinado al robo y a la estala. Peleador, revoltoso. Mala persona. Peligroso desde todo punto de vista. Perjuro y pillo, a menudo posee la mirada del lobo. 
</t>
  </si>
  <si>
    <t>9 y 6</t>
  </si>
  <si>
    <t>7 y 8</t>
  </si>
  <si>
    <t xml:space="preserve">Sueños e imaginacion. Hay peligros mentales. Magia negra. Escándalos. Pérdida de posición. Ávido del bien ajeno. Inconstante e inclinado al error Ironía sarcástica. Pícaro y mentiroso. Hipócrita, vengativo, tirano. Indiferente al dolor ajeno. Un egoísmo feroz, disfrazado de independencia.
</t>
  </si>
  <si>
    <t>8 y 7</t>
  </si>
  <si>
    <t>1 y 6</t>
  </si>
  <si>
    <t xml:space="preserve">Amabilidad, cortesia, delicadez y alegria. Pero inconstante. Afectuoso. Ama las artes, la música y la belleza refinada. Un tanto extravagante y tímido. Muy impaciente en la lucha. Le gustan la “buena vida” y los placeres. Es servicial. Le encanta el buen comer. Su primera idea es siempre la mejor. La mujer de esta combinación suele engañar más por coquetería que por sensualidad. 
</t>
  </si>
  <si>
    <t>6 y 1</t>
  </si>
  <si>
    <t>2 y 5</t>
  </si>
  <si>
    <t xml:space="preserve">Versatilidad, ingenio vivo y curioso. Receptivo y de buena memoria. Hábil negociante, científico, inventor, financista. Amigo de viajar. Muy casamentero. Es inspirado. Rápido en pensamientos y acción. Es astuto y elocuente. Puede ser muy buen médico, ingeniero o abogado... y también puede brillar en el periodismo. Hay inteligencia y sabiduría. Es inclinado a los placeres, aunque ama el hogar. 
</t>
  </si>
  <si>
    <t>5 y 2</t>
  </si>
  <si>
    <t>3 y 4</t>
  </si>
  <si>
    <t xml:space="preserve">Originalidad, Inventiva. Inspiración. Religioso. Tendencias Filosóficas. Suele ser dramático, elocuente y digno. Ama la justicia Gran confianza propia. Es humano, sincero. Da y acepta la verdad. Vive muchos años, aunque le encantan los placeres de la mesa. Es discreto y sabe dar consejos. Lo entiende todo con gran facilidad. Es previsor, amplio y tolerante. Casi siempre posee alto intelecto. 
</t>
  </si>
  <si>
    <t>4 y 3</t>
  </si>
  <si>
    <t>7 y 9</t>
  </si>
  <si>
    <t xml:space="preserve">Ideas caóticas e inciertas. Naturaleza misteriosa y reservada. Excéntrico. Hay peligros por agua o bebidas. Tendencia al juego y a las cosas arriesgadas. Aventurero. Inseguro, solitario. Pedante y ofensivo. Veleta, caprichoso y egoísta.
</t>
  </si>
  <si>
    <t>9 y 7</t>
  </si>
  <si>
    <t>1 y 7</t>
  </si>
  <si>
    <t xml:space="preserve">Una paradoja. Romántico e impresionable. Posee profundas cualidad es psíquicas. Es muy popular. Bastante difícil de comprender. Místico, pero de libre moralidad. Soñador, sensible. Poco realista. Tiene doble personalidad y hasta él mismo queda desorientado. No sabe luchar. Es honrado y compasivo. No trabaja si no es totalmente necesario. Ama lo desconocido. No tiene confianza propia. 
</t>
  </si>
  <si>
    <t>7 y 1</t>
  </si>
  <si>
    <t>2 y 6</t>
  </si>
  <si>
    <t xml:space="preserve">Naturaleza afectuosa, alegre y apasionada. Dado a los placeres. Despreocupado. Inofensivo y algo infantil e ingenuo. Es sensible, pero muy cambiante. Las ideas van y vienen. No vive en la realidad. Desea aristocracia, para así, poder vivir a sus anchas. En compensación, es artista, ya que posee armonía, belleza y gracia. 
</t>
  </si>
  <si>
    <t>6 y 2</t>
  </si>
  <si>
    <t>3 y 5</t>
  </si>
  <si>
    <t xml:space="preserve">Un carácter justo, prudente y esperanzado. Gusta de ayudar a los demás. Es alegre y feliz. Muy inclinado al sexo opuesto. Pacífico y amigable. Algo mandón. Poco rencoroso y no vengativo. Bastante amigo del lujo y de las buenas cosas de la vida. Derrochador. Ambicioso y con apetitos do grandeza. Pero sabe vivir y no se hace demasiados problemas ante los fracasos, porque espera comenzar de nuevo. 
</t>
  </si>
  <si>
    <t>5 y 3</t>
  </si>
  <si>
    <t>8 y 9</t>
  </si>
  <si>
    <t xml:space="preserve">Naturaleza penetrante y osada. Avaricia, chismes, indiscreción. Autoritario y exigente. Envidioso y embustero, no tiene cariño por nadie, siendo destructor de todo.
</t>
  </si>
  <si>
    <t>9 y 8</t>
  </si>
  <si>
    <t>1 y 8</t>
  </si>
  <si>
    <t xml:space="preserve">Desórdenes de conducta. Falta de coraje moral y una gran tendencia al desaliento y la tristeza. No resulta simpático. Demasiado prudente y austero. Mala salud. Defectuosa circulación. De progreso lento. Es mal negociante. Hay complejos, timidez, pereza. Es muy inestable y caprichoso, como un niño. 
</t>
  </si>
  <si>
    <t>8 y 1</t>
  </si>
  <si>
    <t>2 y 7</t>
  </si>
  <si>
    <t xml:space="preserve">Disposición soñadora e ilusa. Tiene amor a las mudanzas. Hay cualidades poéticas y una activa imaginación. Pero es veleta y caprichoso, inconstante, vago y dormilón. Se alarma por su salud. Poco belicoso. Come glotonamente. Es fantasioso y extravagante. En el comercio es negligente. Difícil y lento progreso. Dramatiza todas las situaciones. Quiere todo y no desea nada realmente. 
</t>
  </si>
  <si>
    <t>7 y 2</t>
  </si>
  <si>
    <t>3 y 6</t>
  </si>
  <si>
    <t xml:space="preserve">Armonía. Grandes ideales. Sinceridad y bondad. Augura felicidad. Es un alma pura, apacible y simpática, que sufre por los demás y quiere cambiar el mundo. Muy humano y considerado. Le disgusta la avaricia. Ama la libertad. Por su poca concentración, puede que su progreso sea lento y le sobrevengan grandes cambios de ánimo. Le atrae lo desconocido. 
</t>
  </si>
  <si>
    <t>6 y 3</t>
  </si>
  <si>
    <t>4 y 5</t>
  </si>
  <si>
    <t xml:space="preserve">Una mente inventiva aunque excéntrica. Es inteligente e intuitivo. Original y activo. Posee múltiples habilidades, destacándose como matemático. Dice no a los convencionalismos. Hay cualidades para la mecánica y la aviación. Supera a los demás en los negocios. Le interesan las ciencias, la medicina y el periodismo. Muy elocuente, culto y astuto. Tiene gran mentalidad y saber. Casi siempre se lo ve risueño. 
</t>
  </si>
  <si>
    <t>5 y 4</t>
  </si>
  <si>
    <t>Cantidad de letras en tu nombre</t>
  </si>
  <si>
    <t xml:space="preserve">Predisposición para el misticismo y el misterio.
</t>
  </si>
  <si>
    <t xml:space="preserve">Vida material desahogada. Atrae el dinero, herencias, golpes de suerte.
</t>
  </si>
  <si>
    <t xml:space="preserve">Favorece los contactos con el público, sobre el que tiene buen manejo. Aunque habrá altibajos en la vida.
</t>
  </si>
  <si>
    <t xml:space="preserve">Benéfico para los grandes proyectos.
</t>
  </si>
  <si>
    <t xml:space="preserve">Tiene un lado artístico. Tendencia a prevenirse contra las dificultades.
</t>
  </si>
  <si>
    <t xml:space="preserve">Buen desenvolvimiento en la vida privada. 
</t>
  </si>
  <si>
    <t xml:space="preserve">Los imprevistos son su mayor inconveniente.
</t>
  </si>
  <si>
    <t xml:space="preserve">Piensa sobre todo en el amor.
</t>
  </si>
  <si>
    <t xml:space="preserve">Beneficios gracias al esfuerzo... ajeno.
</t>
  </si>
  <si>
    <t xml:space="preserve">Vida sujeta a contratiempos. Muchas veces empieza desde la nada.
</t>
  </si>
  <si>
    <t xml:space="preserve">Propicio al renombre y al éxito económico.
</t>
  </si>
  <si>
    <t xml:space="preserve">Dificultades entre su vida espiritual y material. Luchas, trastornos.
</t>
  </si>
  <si>
    <t xml:space="preserve">La gran felicidad, el triunfo, dinero, amor, popularidad.
</t>
  </si>
  <si>
    <t xml:space="preserve">Fama. Permite abrir numerosas puertas. Vida de cambios y de grandes oportunidades.
</t>
  </si>
  <si>
    <t xml:space="preserve">El éxito por lo general será tardío.
</t>
  </si>
  <si>
    <t xml:space="preserve">Deberá ser aconsejado o sumará más fracasos que éxitos.
</t>
  </si>
  <si>
    <t xml:space="preserve">Fortuna que llega gracias a ciertas influencias. Buen augurio en general.
</t>
  </si>
  <si>
    <t xml:space="preserve">Será protegido por el sexo opuesto.
</t>
  </si>
  <si>
    <t xml:space="preserve">Obstáculos que aparecen en la segunda etapa de la vida.
</t>
  </si>
  <si>
    <t xml:space="preserve">Prosperidad si logra establecer buenos contactos.
</t>
  </si>
  <si>
    <t xml:space="preserve">La autoridad y el poder estarán muy cerca.
</t>
  </si>
  <si>
    <t xml:space="preserve">Intereses y variados cambios. Buenas relaciones.
</t>
  </si>
  <si>
    <t xml:space="preserve">Problemas e incertidumbres, sobre todo con el sexo opuesto.
</t>
  </si>
  <si>
    <t xml:space="preserve">Vida bastante agitada, pero con buen pronóstico final.
</t>
  </si>
  <si>
    <t>Características de vida</t>
  </si>
  <si>
    <t xml:space="preserve">Fase Positiva: Dignidad, Independencia, Iniciativa.
Fase Negativa: Soledad, Vanidad, Egoísmo desmesurado.
</t>
  </si>
  <si>
    <t xml:space="preserve">Fase Positiva: Idealismo, Suavidad, Armonía.
Fase Negativa: Inconstancia, Torpeza, Confusión.
</t>
  </si>
  <si>
    <t xml:space="preserve">Fase Positiva: Benevolencia, Generosidad, Jovialidad.
Fase Negativa: Ostentación, Desenfreno, Crápula.
</t>
  </si>
  <si>
    <t xml:space="preserve">Fase Positiva: Pericia, Originalidad, Economía.
Fase Negativa: Obstinación, Excentricidad, Prodigalidad.
</t>
  </si>
  <si>
    <t xml:space="preserve">Fase Positiva: Ingeniosidad, Diligencia, Inquietud, Viveza.
Fase Negativa: Entrometimiento, Afán de cambios continuos, Inconstancia. 
</t>
  </si>
  <si>
    <t xml:space="preserve">Fase Positiva: Afabilidad, Ornamentación, Arte.
Fase Negativa: Lascivia, Vida desordenada, Espíritu contradictorio.
</t>
  </si>
  <si>
    <t xml:space="preserve">Fase Positiva: Genialidad, Inspiración, Introversión.
Fase Negativa: Ofuscación, Locura, Obsesivo.
</t>
  </si>
  <si>
    <t xml:space="preserve">Fase Positiva: Determinación, Constancia, Fidelidad.
Fase Negativa: Falsía, Duplicidad, Desconfianza.
</t>
  </si>
  <si>
    <t xml:space="preserve">Fase Positiva: Energía, Actividad, Comprensión.
Fase Negativa: Agresividad, Violencia, Rencor.
</t>
  </si>
  <si>
    <t>Numero Hereditario</t>
  </si>
  <si>
    <t xml:space="preserve">Simboliza una forma de autoridad. Facilita las gestiones voluntarias, la confianza en sí mismo, el éxito brillante. Cuidado con el ego. Aislamiento y a veces soledad.
</t>
  </si>
  <si>
    <t xml:space="preserve">Influencia femenina. Situaciones duales relacionadas con el contexto o provocadas por sus propias gestiones. Sensibilidad. Timidez. Espíritu lunático. Contactos y apoyos cómodos.
</t>
  </si>
  <si>
    <t xml:space="preserve">Facilidad de expresión. Círculo relacional importante. Gustos originales. Nerviosismo importante. Desgaste de energías. Sentido de la estética. Creatividad. Generosidad. Cuidado con las aficiones y la superficialidad. Grandes facilidades de concreción a través de apoyos y amigos.
</t>
  </si>
  <si>
    <t xml:space="preserve">Restricciones impuestas que desaparecerán de forma progresiva. A veces, presencia de personas ancianas o diferencia de edad importante entre padres e hijos. La cualidad de organización, el sentido del método y de la disciplina son dominantes. La capacidad de trabajo es omnipresente.
</t>
  </si>
  <si>
    <t xml:space="preserve">Gran adaptabilidad, espíritu de aventura, gusto marcado por la evasión y por los viajes. Independencia frecuente, a veces autonomía forzada por los acontecimientos. Inteligencia flexible, curiosidad natural. Cuidado con los excesos.
</t>
  </si>
  <si>
    <t xml:space="preserve">La armonía domina. Sentido agudo de las responsabilidades. Muchas incertidumbres en la existencia. Capacidad de servir omnipresente. Intereses humanitarios. La prioridad se da al patrimonio afectivo. En general, sentido de la diplomacia. Cuidado con las niñerías y con las indecisiones que provocan dudas.
</t>
  </si>
  <si>
    <t xml:space="preserve">Aislamiento (físico y psíquico) frecuente. Introspección interior, gran inteligencia. A veces marginalidad. Perfeccionismo, estudios, investigaciones y sabiduría. Replanteamientos en cuestiones frecuentes, riesgo de inquietud. Alma y serenidad favorecidos.
</t>
  </si>
  <si>
    <t xml:space="preserve">A menudo, buena protección al inicio, material o espiritual. Excelente resistencia. Sentido innato de la justicia. Ambiciones, éxito facilitado, honestidad, pero también agresividad y deseo de poder excesivos. Poco escrupuloso.
</t>
  </si>
  <si>
    <t xml:space="preserve">Tensiones afectivas y emocionales importantes. Gestiones humanitarias. Contexto de evolución positivo si el individuo se encuentra orientado hacia los demás y hacia el mundo exterior. Acceso a una vocación (a veces huella familiar). Evasión y viajes al extranjero también favorecidos.
</t>
  </si>
  <si>
    <t>Talento</t>
  </si>
  <si>
    <t xml:space="preserve">Eres pensador, Independiente, original, interesado en lo nuevo y siempre abierto a la Iniciativa. Popular, famoso, cooperativo, atento.  Con gran apoyo para la escritura, la poesía, la actuación, el liderazgo y la Música. De gran beneficio en el terreno social. Tu progreso depende de la forma en que apliques tus disposiciones naturales a la creación de elementos materiales.
</t>
  </si>
  <si>
    <t xml:space="preserve">Eres comprensivo, con tacto y espíritu analítico, capacidad de adquirir conocimientos, tiendes a armonizar justificar y servir  con un sentido muy práctico. Tienes delicadeza, juventud, un efecto tranquilizador, y muchos cambios en tu vida. Pero puedes tener mucho éxito en los negocios de importación y exportación, o en la medicina natural en especial en la herbolaria y afines. Atraes la ayuda de Mujeres de edad.
</t>
  </si>
  <si>
    <t xml:space="preserve">Tienes un gran sentido humorístico, tacto, originalidad, apego a las cosas de la familia y liberalidad .Esto te hace atrevido, digno de confianza, auto disciplinado y tolerante. Eres buen Narrador y creador elocuente. Luchador incansable, lograras una posición elevada en la vida.  Se generoso al hacer uso de lo que la vida te da y procura que ello también contribuya a la dicha de los demás.
</t>
  </si>
  <si>
    <t xml:space="preserve">Tienes una mente analítica, lógica, previsora, con pericia y sentido práctico. Eres cauteloso y desconfiado por ello es que no tienes buena suerte en los negocios. Aun así hay que ser hábil en tus trabajos y ahorrar energía en cada acto.
</t>
  </si>
  <si>
    <t xml:space="preserve">Tu naturaleza es sensible, receptiva, inquieta, muy observadora, con capacidad para percibir lo que piensan los demás antes de que lo expresen. Eres jovial, vivaz, comunicativo, Favorece la escritura, la poesía, comercio, negocios bancarios, el deporte, el periodismo, la medicina, la política, en si todas las profesiones relacionadas con la comunicación.
</t>
  </si>
  <si>
    <t xml:space="preserve">Tienes una gran devoción, sentimientos apegados a la vida en común y capacidad confiable. Un espíritu muy observador y mucha responsabilidad en lo que asumes. Tu nombre comunica amistad, aceptación, popularidad, Puedes hacer música, poesía o bailar. E interesarte incluso en ciencias ocultas. El 6 aporta deseo de cooperar, hospitalidad, caridad, emoción, socialización, afecto al chismorreo, a la belleza externa e interna, y en su aspecto negativo a la inestabilidad. Debes perseverar en el logro de lo que te propongas
</t>
  </si>
  <si>
    <t xml:space="preserve">Tu nombre representa Autoridad, lealtad, reserva, amor a los métodos científicos. Un criterio independiente y un constante deseo de superarse a sí mismo para mejorar todo lo que te concierna. Eres un precursor nato y un estudiante apto. Escritor, artista, científico, reformador, místico, suficiente e intuitivo. Haces las cosas apetecibles porque simbolizas Agrado. Perfecciona tu régimen de vida y da trascendencia a tus labores.
</t>
  </si>
  <si>
    <t xml:space="preserve">Guardas en tu nombre un espíritu crítico, razonador, calculador  y excelente sentido práctico, que lo mismo aplicas a la creación que a la demolición. Tienes un entendimiento iluminado, coordinación en tus esfuerzos y organizas bien la cooperación de la mano de obra. Eres paciente extremista, aspiras a grandes logros .Eres honesto y hábil. Te interesa la religión, la filosofía, las ciencias ocultas y la meditación. No descansas con tal de alcanzar la solidez económica a la que aspiras. Aplica bien tus disposiciones intelectuales al logro de bienes materiales.
</t>
  </si>
  <si>
    <t xml:space="preserve">Tu nombre comulga con personas y cosas, te identificas muy bien con ideas y sentimientos. Tienes facilidad de expresión, deseo de conocer nuevas tierras y condiciones de vida. Tu nombre simboliza estimación. Sirve desinteresadamente y con buena voluntad en tus palabras, en tus ideas y en tus obras.
</t>
  </si>
  <si>
    <t>Tu numero de talento es 2</t>
  </si>
  <si>
    <t>Tu numero de talento es 4</t>
  </si>
  <si>
    <t>Tu numero de talento es 6</t>
  </si>
  <si>
    <t>Estado Espiritual</t>
  </si>
  <si>
    <t xml:space="preserve">“Plano Mental” Líder, originador de ideas, independiente, gran pensador. A veces cabeza dura y ególatra. </t>
  </si>
  <si>
    <t xml:space="preserve">“Plano Emotivo” Tiene poca confianza propia, y por lo tanto no le conviene independizarse sólo, sino en sociedad. Sensible, imaginativo, sentimental, y siempre preocupado de todo. Es espiritual y amante del arte en todas sus formas. </t>
  </si>
  <si>
    <t xml:space="preserve">“Plano Emotivo” Tendencia al desorden y falto de sistema. Creativo, impulsivo, artístico y con talento literario. También es versátil y tiende a dispersar su talento. Las tareas manuales, no están hechas para el número 3. </t>
  </si>
  <si>
    <t xml:space="preserve">“Plano Físico” Responsable, eficiente, muy trabajador y sumamente práctico. Poco imaginativo. No se adapta fácilmente a nuevas ideas </t>
  </si>
  <si>
    <t xml:space="preserve">“Plano Físico” Inquieto, no rutinario, el típico promotor y vendedor. Ideas originales. Gusta del cambio y de la aventura. No es práctico, como el N° 4. </t>
  </si>
  <si>
    <t>“Plano Emotivo” Interesados por la comunidad en que viven. Necesitan familia y hogar. Son responsables y se puede confiar en ellos. Artista práctico. Los hijos podrían causarle disgustos.</t>
  </si>
  <si>
    <t xml:space="preserve">“Plano Intuitivo” Solitario y bastante insociable. Analítico, psíquico y con percepción extrasensorial. Buen científico, reservado y raro de entender. Le interesa todo lo oculto. </t>
  </si>
  <si>
    <t>“Plano Mental” Ejecutivo que ambiciona el poder, orgulloso, no obedece órdenes, exhibicionista. Quiere ser jefe.</t>
  </si>
  <si>
    <t>“Plano Intuitivo” Vive bastante desapegado de os intereses terrenales. Gran pensador, generoso, desinteresado y compasivo. Puede Trabajar bien en todo proyecto universalista. Inclinado a lo dramático. Desea secretamente la aprobación de los demás. A menudo, es el soñador incomprendido.</t>
  </si>
  <si>
    <t>Desafío Intimo</t>
  </si>
  <si>
    <t xml:space="preserve">En el 80% de los casos, es el 1 de la energía el que se tendrá que frenar. Tendencia a imponerse, a situarse sistemáticamente en un primer plano. Egocentrismo, narcisismo, por citar sólo algunos aspectos. Dificultades para encontrar su verdadero lugar en el respeto mutuo de los demás. Sería necesario desarrollar la noción de compartir, sobre todo durante la infancia, y trabajar la modestia.
Otros tendrán que aprender a afirmarse tomando iniciativas, desarrollando el deporte cerebral para poder adquirir una gran flexibilidad y rapidez de espíritu, o cualquier otro procedimiento que conduzca en esta dirección.
Si el desafío se presenta en la intimidad, será la vida familiar, la sentimental, sus relaciones profundas y sus deseos egoístas los que se verán afectados.
Este desafío es, a menudo, más difícil de vivir para una mujer.
El 1 puede corresponder al símbolo del padre.
</t>
  </si>
  <si>
    <t xml:space="preserve">Relacionados con el número 2, los aspectos de la unificación, en el sentido más amplio de la palabra, son los que se ven afectados. Por lo tanto, será necesario cooperar, someterse, dominar una hipersensibilidad en algunos casos.
En la intimidad, la unión no será fácil de vivir, por lo menos se necesitará mucha paciencia y dominio (aspectos ciclotímicos del carácter relacionados con la dualidad de este número). Sucede lo mismo con todos los aspectos asociativos de la vida privada.
Es necesario evitar crear situaciones ambiguas. Esfuerzo de aceptación y de escucha al otro. Evidentemente, en algunas situaciones son las características de la dependencia y de la sumisión excesiva las que se tendrán que superar a cualquier precio.
Este desafío es más difícil de vivir para los hombres. Simboliza también la madre, la mujer, la matriz y la ternura.
</t>
  </si>
  <si>
    <t xml:space="preserve">Asociado al número de expresión y de la creatividad, pone en guardia contra los excesos relacionados con una relativa facilidad en la existencia. Tendencia al nerviosismo y a la dispersión. Es necesario aprender a canalizar su energía en una única dirección cada vez, a cuidar su presentación y su elocución. Pero tampoco es necesario exagerar.
Su aparición en lo íntimo indica un riesgo de exceso en los placeres de la existencia. Inestabilidad e inmadurez afectiva. En algunos casos se nota un exceso de generosidad y una superficialidad en las relaciones humanas. A veces le cuesta decir “¡no!”.
</t>
  </si>
  <si>
    <t xml:space="preserve">El 4 es el símbolo del cuadrado… En el contexto de un desafío psicológico se tendrá que salir o entrar. Es necesario construir bien, cuidar la calidad del trabajo, asegurarse que los cimientos son sólidos y considerar que su mejor aliado es el tiempo.
A la inversa, se tendrá que dar muestras de más fantasía en la existencia y alejarse a veces de los aspectos de rigidez relacionados con este número.
Su presencia en el íntimo obliga a estructurar el marco familiar, a asegurar cimientos sólidos, a ser estable, garantizando la seguridad (material o afectiva) de su patrimonio simbólico.
Indica en algunos casos riesgos de bloqueos, de restricciones, de aislamiento, o cargas como las obligaciones familiares (personas ancianas, enfermos).
No debemos olvidar que este número simboliza también la autoridad en su aspecto patriarcal.
</t>
  </si>
  <si>
    <t xml:space="preserve">Característica de fuertes tensiones internas, liberadas con brutalidad a veces, el número en esta posición de desafío indica precisamente que la persona se lanza desafíos, lo que implica situaciones de inestabilidad, sea cual sea el sector afectado. Cuidado, por tanto, en el momento de gestionar la libertad personal, para no caer con facilidad en excesos dudosos que pongan en peligro la salud. Sucede lo mismo en la vida afectiva y en proyectos diversos, con el riesgo de no construir nada sólido ni duradero. El 5 corresponde al esquema corporal (hombre/pentagrama), siguiendo el caso, se tendrá que considerar el aspecto narcisista. Su presencia en el desafío es la manifestación de inestabilidad afectiva (física o psíquica), el donjuanismo, así como la búsqueda de viajes del cuerpo o del espíritu. Pocas veces se está quieto, replanteamientos frecuentes de la forma o del estilo de vida interior en muchos casos.
Una pequeña observación para los padres cuyo hijo presente un desafío 5, sea cual sea la situación: ¡cuidado con las campanas! Puede manifestar dificultades para concentrar su atención en algo durante mucho tiempo, además de los aspectos tradicionales relacionados con el 5.
</t>
  </si>
  <si>
    <t xml:space="preserve">Denota un carácter difícil en la mayoría de los casos. A menudo se trata de un eterno insatisfecho debido al lado perfeccionista relacionado con el 6. Gran exigencia con el entorno. Se trata de un desafío muy potente,  que lleva la intolerancia y el parasitismo a las relaciones humanas naturales, lo que representa una paradoja. Tiene tendencia, sobre todo, a querer hacer las cosas demasiado bien.
En lo íntimo, se trata de una búsqueda de calidad de existencia excesiva, tanto en las relaciones privadas como a nivel material concreto, lo que al final desgasta el entorno. Sentido agudo de las responsabilidades, aunque necesitará adaptarse y asumir cargas familiares con una sonrisa…
Desea evolucionar en un bienestar total tanto afectivo como material. También se ha producido en algunos casos, una obsesión por la higiene perfecta.
</t>
  </si>
  <si>
    <t xml:space="preserve">El 7 simboliza la vida interior, expresa claramente, debido a su posición, un trabajo sobre sí mismo a través del desarrollo de las capacidades escondidas en lo más profundo del ser. Tendencia a rechazar sus emociones, sus percepciones, necesidad de ir hacia el otro desarrollando el valor de la amistad. Salir de su vida cerebral y vibrar al mismo ritmo que el entorno cercano. Falta de confianza en los demás relacionada con una mala valorización de sus propias posibilidades. Fobias, angustias corrientes. A la inversa, demasiado desinterés relacionado con el orgullo.
En lo íntimo, el desafío 7 marca una falta flagrante de consideración en sí mismo, dificultades en afirmarse, sobre todo a nivel concreto, un pesimismo que puede provocar replanteamientos de la relación en el entorno cercano, dudas y ansias compartidas.
Esta excesiva introversión y la simultánea falta de comunicación engendran el monólogo.
No facilita en ningún caso la integración en una estructura de equipo, grupo o asociación de cualquier tipo, pero este aspecto es secundario. En cambio, existe un riesgo de debilidad en las competencias de tipo práctico para la mayoría de las personas afectadas.
Necesidad también en otros ámbitos, de adquirir una cierta autodisciplina, cuidado con el lado marginal del 7.
</t>
  </si>
  <si>
    <t xml:space="preserve">Es el número del equilibrio por definición y representa, en el contexto de un desafío, los aspectos del desequilibrio de este valor. El lado intransigente, incluso violento (físico o verbal) se manifiesta tarde o temprano. Existe además un equilibrio vital que mantener en las finanzas en muchos casos. Es necesario dar al dinero y al poder, en su sentido más amplio, el valor que le corresponde.
En lo íntimo, una cierta intolerancia se expresará en el hogar, también una ambición desmesurada en lo que se refiere a la orientación educativa y escolar de los niños (fenómeno clásico de proyección del ego, a veces relacionado con una frustración personal o una injusticia caracterizada), y esto en numerosos casos.
Falta de flexibilidad en las relaciones, intransigencia característica. Apego a los valores materiales, o deficiencia completa de su sentido verdadero.
En la educación, los padres tienen que ser sensibles a las legítimas e ilegítimas exigencias de la prole, y tienen que realizar las cosas con el objetivo de facilitar sus gestiones con flexibilidad de espíritu y de respeto mutuo.
</t>
  </si>
  <si>
    <t xml:space="preserve">Estos son los aspectos humanitarios que se tendrán que desarrollar: tolerancia, comprensión y caridad cristiana… ¡qué programa!
Es necesario esforzarse por ofrecer servicios gratuitos sin esperar nada a cambio, abrirse al mundo y sobrepasar su pequeño universo egocéntrico, tener miras u objetivos más amplios.
Hacer lo necesario para sobrepasar estados interiores extremos que pueden provocar trastornos del comportamiento y juicios equivocados, por no hablar de los proyectos quiméricos…
El desafío 9 simboliza, en algunos casos, situaciones de sacrificio que se deben atravesar ates de pensar en su propia evolución.
Cuidado con los aspectos de fanatismo que este número aporta a veces, y todo ello por una ideología, por un compromiso comunitario.
</t>
  </si>
  <si>
    <t xml:space="preserve">Aquí se tiene todos los desafíos o no se tiene ninguno. Es un caso muy especial que revela un alma esforzada. O sea, o todo llega fácil a tu vida o todo se le complica demasiado.
</t>
  </si>
  <si>
    <t>Desafío de Realización</t>
  </si>
  <si>
    <t xml:space="preserve">En el 80% de los casos, es el 1 de la energía el que se tendrá que frenar. Tendencia a imponerse, a situarse sistemáticamente en un primer plano. Egocentrismo, narcisismo, por citar sólo algunos aspectos. Dificultades para encontrar su verdadero lugar en el respeto mutuo de los demás. Sería necesario desarrollar la noción de compartir, sobre todo durante la infancia, y trabajar la modestia.
Otros tendrán que aprender a afirmarse tomando iniciativas, desarrollando el deporte cerebral para poder adquirir una gran flexibilidad y rapidez de espíritu, o cualquier otro procedimiento que conduzca en esta dirección.
En la realización, el desafío 1 se manifestará en lo profesional y también en lo físico si la persona afectada ejerce una actividad de tipo social, deportiva por ejemplo, en la medida en que esta destaca su status personal en sus gestiones de concreción y de integración.
Este desafío es, a menudo, más difícil de vivir para una mujer.
El 1 puede corresponder al símbolo del padre.
</t>
  </si>
  <si>
    <t xml:space="preserve">Relacionados con el número 2, los aspectos de la unificación, en el sentido más amplio de la palabra, son los que se ven afectados. Por lo tanto, será necesario cooperar, someterse, dominar una hipersensibilidad en algunos casos.
Es necesario evitar crear situaciones ambiguas. Esfuerzo de aceptación y de escucha al otro. Evidentemente, en algunas situaciones son las características de la dependencia y de la sumisión excesiva las que se tendrán que superar a cualquier precio.
Por lo que se refiere a la realización, este desafío se manifestará a nivel concreto, como un trabajo en equipo, en una colaboración que necesitará esfuerzos constantes de adaptación, por citar sólo esta particularidad. Mientras las lecciones del desafío 2 no hayan sido integradas y vividas de forma positiva, nos encontraremos con serios problemas en la existencia.
Este desafío es más difícil de vivir para los hombres. Simboliza también la madre, la mujer, la matriz y la ternura.
</t>
  </si>
  <si>
    <t xml:space="preserve">Asociado al número de expresión y de la creatividad, pone en guardia contra los excesos relacionados con una relativa facilidad en la existencia. Tendencia al nerviosismo y a la dispersión. Es necesario aprender a canalizar su energía en una única dirección cada vez, a cuidar su presentación y su elocución. Pero tampoco es necesario exagerar.
En la realización, se trata del riesgo de dispersión que acecha en su actividad. La energía se dispersará o no será constructiva. Por ejemplo, tendencia a empezar diversos trabajos al mismo tiempo, o a prometer demasiado, a comprometerse con prisas; el individuo no se da tiempo de profundizar en una situación.
</t>
  </si>
  <si>
    <t xml:space="preserve">El 4 es el símbolo del cuadrado… En el contexto de un desafío psicológico se tendrá que salir o entrar. Es necesario construir bien, cuidar la calidad del trabajo, asegurarse que los cimientos son sólidos y considerar que su mejor aliado es el tiempo.
A la inversa, se tendrá que dar muestras de más fantasía en la existencia y alejarse a veces de los aspectos de rigidez relacionados con este número.
Indica en algunos casos riesgos de bloqueos, de restricciones, de aislamiento, o cargas como las obligaciones familiares (personas ancianas, enfermos).
En la realización, será necesario colocar bases sólidas, constructivas, manifestar competencias serias, inspirar confianza. Sentirse cómodos con la jerarquía, para algunos, mientras esperan su turno.
Debe otorgar a todos los componentes de un problema o de trabajo la misma atención y no olvidar nada. No dar privilegio al aspecto global de las cosas, al riesgo de saltar una etapa, incluso anodina… Insistir en la preocupación del detalle.
No debemos olvidar que este número simboliza también la autoridad en su aspecto patriarcal.
</t>
  </si>
  <si>
    <t xml:space="preserve">Característica de fuertes tensiones internas, liberadas con brutalidad a veces, el número en esta posición de desafío indica precisamente que la persona se lanza desafíos, lo que implica situaciones de inestabilidad, sea cual sea el sector afectado. 
En la realización, las mayores dificultades se situarán en una actividad que implique estructuras rígidas, y los problemas de adaptación que se desprendan de ellas. Gran necesidad de movilidad (física y psíquica) y de autonomía. Profundo deseo de gestionar su propia organización y sus propios horarios, necesidad vital de evolucionar en un marco aireado.
Una pequeña observación para los padres cuyo hijo presente un desafío 5, sea cual sea la situación: ¡cuidado con las campanas! Puede manifestar dificultades para concentrar su atención en algo durante mucho tiempo, además de los aspectos tradicionales relacionados con el 5.
</t>
  </si>
  <si>
    <t xml:space="preserve">Denota un carácter difícil en la mayoría de los casos. A menudo se trata de un eterno insatisfecho debido al lado perfeccionista relacionado con el 6. Gran exigencia con el entorno. Se trata de un desafío muy potente,  que lleva la intolerancia y el parasitismo a las relaciones humanas naturales, lo que representa una paradoja. Tiene tendencia, sobre todo, a querer hacer las cosas demasiado bien.
Desea evolucionar en un bienestar total tanto afectivo como material. También se ha producido en algunos casos, una obsesión por la higiene perfecta.
En la realización, este desafío estar mejor tolerado a nivel concreto, la calidad de trabajo buscado se encuentra a menudo, por encima de las esperanzas para el entorno, pero los aspectos relacionales difíciles subsisten; están proyectados hacia otro contexto de existencia.
</t>
  </si>
  <si>
    <t xml:space="preserve">El 7 simboliza la vida interior, expresa claramente, debido a su posición, un trabajo sobre sí mismo a través del desarrollo de las capacidades escondidas en lo más profundo del ser. Tendencia a rechazar sus emociones, sus percepciones, necesidad de ir hacia el otro desarrollando el valor de la amistad. Salir de su vida cerebral y vibrar al mismo ritmo que el entorno cercano. Falta de confianza en los demás relacionada con una mala valorización de sus propias posibilidades. Fobias, angustias corrientes. A la inversa, demasiado desinterés relacionado con el orgullo.
Esta excesiva introversión y la simultánea falta de comunicación engendran el monólogo.
En el marco de la realización, será necesario desarrollar con prioridad el sentido del análisis, de la investigación, la búsqueda y el don de la observación.
No facilita en ningún caso la integración en una estructura de equipo, grupo o asociación de cualquier tipo, pero este aspecto es secundario. En cambio, existe un riesgo de debilidad en las competencias de tipo práctico para la mayoría de las personas afectadas.
Necesidad también en otros ámbitos, de adquirir una cierta autodisciplina, cuidado con el lado marginal del 7.
</t>
  </si>
  <si>
    <t xml:space="preserve">Es el número del equilibrio por definición y representa, en el contexto de un desafío, los aspectos del desequilibrio de este valor. El lado intransigente, incluso violento (físico o verbal) se manifiesta tarde o temprano. Existe además un equilibrio vital que mantener en las finanzas en muchos casos. Es necesario dar al dinero y al poder, en su sentido más amplio, el valor que le corresponde.
En la realización, las características son idénticas, pero en el marco de la actividad profesional asó como en el de las relaciones humanas de este (colega, empleado, clientela...), tiene a menudo una falta de flexibilidad en el comportamiento. Es muy intuitivo en el ámbito de los negocios; puede pasar de un extremo al otro: es todo bueno… o francamente catastrófico.
En la educación, los padres tienen que ser sensibles a las legítimas e ilegítimas exigencias de la prole, y tienen que realizar las cosas con el objetivo de facilitar sus gestiones con flexibilidad de espíritu y de respeto mutuo.
</t>
  </si>
  <si>
    <t xml:space="preserve">Sólo puede situarse en la expresión.
Estos son los aspectos humanitarios que se tendrán que desarrollar: tolerancia, comprensión y caridad cristiana… ¡qué programa!
Es necesario esforzarse por ofrecer servicios gratuitos sin esperar nada a cambio, abrirse al mundo y sobrepasar su pequeño universo egocéntrico, tener miras u objetivos más amplios.
Hacer lo necesario para sobrepasar estados interiores extremos que pueden provocar trastornos del comportamiento y juicios equivocados, por no hablar de los proyectos quiméricos…
El desafío 9 simboliza, en algunos casos, situaciones de sacrificio que se deben atravesar ates de pensar en su propia evolución.
Cuidado con los aspectos de fanatismo que este número aporta a veces, y todo ello por una ideología, por un compromiso comunitario.
</t>
  </si>
  <si>
    <t>Desafío de Expresión</t>
  </si>
  <si>
    <t xml:space="preserve">En el 80% de los casos, es el 1 de la energía el que se tendrá que frenar. Tendencia a imponerse, a situarse sistemáticamente en un primer plano. Egocentrismo, narcisismo, por citar sólo algunos aspectos. Dificultades para encontrar su verdadero lugar en el respeto mutuo de los demás. Sería necesario desarrollar la noción de compartir, sobre todo durante la infancia, y trabajar la modestia.
Otros tendrán que aprender a afirmarse tomando iniciativas, desarrollando el deporte cerebral para poder adquirir una gran flexibilidad y rapidez de espíritu, o cualquier otro procedimiento que conduzca en esta dirección.
Este desafío es, a menudo, más difícil de vivir para una mujer.
El 1 puede corresponder al símbolo del padre.
</t>
  </si>
  <si>
    <t xml:space="preserve">Relacionados con el número 2, los aspectos de la unificación, en el sentido más amplio de la palabra, son los que se ven afectados. Por lo tanto, será necesario cooperar, someterse, dominar una hipersensibilidad en algunos casos.
Es necesario evitar crear situaciones ambiguas. Esfuerzo de aceptación y de escucha al otro. Evidentemente, en algunas situaciones son las características de la dependencia y de la sumisión excesiva las que se tendrán que superar a cualquier precio.
Este desafío es más difícil de vivir para los hombres. Simboliza también la madre, la mujer, la matriz y la ternura.
</t>
  </si>
  <si>
    <t xml:space="preserve">Asociado al número de expresión y de la creatividad, pone en guardia contra los excesos relacionados con una relativa facilidad en la existencia. Tendencia al nerviosismo y a la dispersión. Es necesario aprender a canalizar su energía en una única dirección cada vez, a cuidar su presentación y su elocución. Pero tampoco es necesario exagerar.
</t>
  </si>
  <si>
    <t xml:space="preserve">El 4 es el símbolo del cuadrado… En el contexto de un desafío psicológico se tendrá que salir o entrar. Es necesario construir bien, cuidar la calidad del trabajo, asegurarse que los cimientos son sólidos y considerar que su mejor aliado es el tiempo.
A la inversa, se tendrá que dar muestras de más fantasía en la existencia y alejarse a veces de los aspectos de rigidez relacionados con este número.
Indica en algunos casos riesgos de bloqueos, de restricciones, de aislamiento, o cargas como las obligaciones familiares (personas ancianas, enfermos).
Debe otorgar a todos los componentes de un problema o de trabajo la misma atención y no olvidar nada. No dar privilegio al aspecto global de las cosas, al riesgo de saltar una etapa, incluso anodina… Insistir en la preocupación del detalle.
No debemos olvidar que este número simboliza también la autoridad en su aspecto patriarcal.
</t>
  </si>
  <si>
    <t xml:space="preserve">Denota un carácter difícil en la mayoría de los casos. A menudo se trata de un eterno insatisfecho debido al lado perfeccionista relacionado con el 6. Gran exigencia con el entorno. Se trata de un desafío muy potente,  que lleva la intolerancia y el parasitismo a las relaciones humanas naturales, lo que representa una paradoja. Tiene tendencia, sobre todo, a querer hacer las cosas demasiado bien.
Desea evolucionar en un bienestar total tanto afectivo como material. También se ha producido en algunos casos, una obsesión por la higiene perfecta.
</t>
  </si>
  <si>
    <t xml:space="preserve">El 7 simboliza la vida interior, expresa claramente, debido a su posición, un trabajo sobre sí mismo a través del desarrollo de las capacidades escondidas en lo más profundo del ser. Tendencia a rechazar sus emociones, sus percepciones, necesidad de ir hacia el otro desarrollando el valor de la amistad. Salir de su vida cerebral y vibrar al mismo ritmo que el entorno cercano. Falta de confianza en los demás relacionada con una mala valorización de sus propias posibilidades. Fobias, angustias corrientes. A la inversa, demasiado desinterés relacionado con el orgullo.
Esta excesiva introversión y la simultánea falta de comunicación engendran el monólogo.
No facilita en ningún caso la integración en una estructura de equipo, grupo o asociación de cualquier tipo, pero este aspecto es secundario. En cambio, existe un riesgo de debilidad en las competencias de tipo práctico para la mayoría de las personas afectadas.
Necesidad también en otros ámbitos, de adquirir una cierta autodisciplina, cuidado con el lado marginal del 7.
</t>
  </si>
  <si>
    <t xml:space="preserve">Es el número del equilibrio por definición y representa, en el contexto de un desafío, los aspectos del desequilibrio de este valor. El lado intransigente, incluso violento (físico o verbal) se manifiesta tarde o temprano. Existe además un equilibrio vital que mantener en las finanzas en muchos casos. Es necesario dar al dinero y al poder, en su sentido más amplio, el valor que le corresponde.
Falta de flexibilidad en las relaciones, intransigencia característica. Apego a los valores materiales, o deficiencia completa de su sentido verdadero.
En la educación, los padres tienen que ser sensibles a las legítimas e ilegítimas exigencias de la prole, y tienen que realizar las cosas con el objetivo de facilitar sus gestiones con flexibilidad de espíritu y de respeto mutuo.
</t>
  </si>
  <si>
    <t>Numero de Expresion</t>
  </si>
  <si>
    <t xml:space="preserve">Competencias múltiples. Expresión 1
El 1 equilibrado
Gran inspiración para la dirección. Se encuentra siempre en la punta del progreso en el marco de sus competencias múltiples. Son responsables de sus actos sean cuales sean las consecuencias. Búsqueda de un lugar de líder en su especialidad. Franco, directo, muy hábil en sus negociaciones.
Su poder de investigación es una de las claves de su éxito. Se muestra rápido y eficaz: “El tiempo es oro”. Le gusta relacionarse con personas que han triunfado socialmente, esto realza su prestigio y lo estimula. Está muy atento a la evolución de las personas que comparten su universo profesional, intenta rodearse de ganadores complementarios en su acción. Se trata de un elemento motor ideal y por ello proyecta su combatividad, es leal en sus relaciones humanas, profundamente bueno y generoso para quien lo sabe apreciar. Su lado rígido y sus andares orgullosos esconden una gran sensibilidad que él interpreta como un signo exterior de debilidad o de sentimentalismo…
Se trata de un excelente emprendedor; la amistad es un valor seguro y no soporta la traición. Posee un excelente espíritu de síntesis, pero puede perderse fácilmente en los meandros de un análisis complejo, o revelarse un pobre ejecutor… siguiendo sus motivaciones (número íntimo). Sentido de la organización, poderosa creatividad: para él no existen las fronteras inaccesibles, sólo existen las malas estrategias. Se encuentra cómodo en un contexto competitivo en el que puede evolucionar sin problemas y consigue aliar la originalidad con lo funcional.
Sentimental rechazado, su familia forma parte integrante de su éxito. Al ser protector y un poco posesivo, sus compañeros tendrán que manifestarle una forma de devoción y una paciencia angelical.
Es muy exigente con su entorno, soporta difícilmente los errores y todavía menos la mediocridad. Algunas aventuras sentimentales accidentales entretendrán su ego a la espera del hombre o de la mujer idealizada en el contexto de sus ambiciones…
El 1 negativo
Un eterno insatisfecho. Tendencia manifiesta al orgullo. Culto de la personalidad. Impaciencia. Impulsividad. Violencia física o verbal. Megalómano. Espíritu de persecución y rencoroso. Poco escrupuloso, negativo en sus acciones y en sus pensamientos. Deshonesto y astuto, sabe utilizar su encanto… con objetivos no confesados. Depende del entorno. Inercia patológica hacia lo peor. Elemento parásito; aprovechado que sabe explotar las debilidades de la sociedad para satisfacer su ego.
Algunas observaciones:
Se aconseja orientar a estos individuos hacia profesiones en las que podrán expresar (parcialmente al principio) sus capacidades en un contexto de independencia y en las que sabrán rápidamente tomar iniciativas. La integración en una estructura demasiado rígida, en la que la autoridad se vive como una amenaza, alienará sus posibilidades progresivamente y su motivación se debilitará.
Sus reflexiones se dirigen también al mundo educativo: llevar al niño hasta un cierto margen de autonomía, favorecer sus iniciativas para que adquiera la confianza en él a través del conocimiento y la exploración de sus posibilidades. Sensibilizarlo igualmente sobre la noción de partición, de complementariedad, de intercambio espontáneo.
Respecto a la salud
Se aconseja ser particularmente sensible a los aspectos siguientes que, evidentemente, no determinan, pero influyen en las tendencias que se pueden confirmar. El cuerpo también se expresa en relación con las energías del número 1.
Terrenos receptivos: la cabeza, la garganta, la nariz, los ojos, los oídos. Tensión cerebral. Agotamiento intelectual. Depresión brutal. Migraña. Insomnio. Cuidado con los golpes en la cabeza. Dolores cervicales. Riesgos de quemaduras. Insolación. Tensión arterial. Sistema cardiovascular.
</t>
  </si>
  <si>
    <t xml:space="preserve">Personalidad sociable. Expresión 2
En esta posición, el 2 posee una profunda dualidad, cuya intensidad y manifestación están relacionadas directamente con los números de origen.
El 2 equilibrado
Naturalmente sociable y cooperativo, reflexiona con madurez sus acciones, “mejor dos veces que una”. Se integra con facilidad en una estructura asociativa. Se casará con el grupo, se fundirá en su dinámica y asumirá con prioridad los trabajos de ejecución. Busca la jerarquía, respeta las convenciones e intenta mantener la armonía, el equilibrio en las relaciones humanas, multiplicando las concesiones. Espíritu muy sensible, influenciable, inalcanzable por su carácter ciclotímico.
Puede dejarse desbordar por sus sentimientos y después manifestar una indiferencia lunática sin razón aparente. Ante el deber de escoger, permanecerá ambiguo y largamente indeciso. Se encuentra mucho más cómodo en su papel de consejero, de confidente, de psicólogo o en situaciones similares que no comprometan su espíritu de iniciativa. La unión es vital para su desarrollo, escapa de la soledad y construye rápidamente su pequeño nido de amor.
Su entorno lo aprecia por su encanto y su amabilidad, digno de confianza, sacrificado y fiel, espera pacientemente su hora de gloria a través del éxito de las personas a las que apoya.
Es muy receptivo; como una esponja natural, se impregna de las atmósferas y representa por sí solo la temperatura del contexto en el que evoluciona. Si estuviera más a la escucha de su intuición real y no subjetiva, su vida sería a veces más fácil…
Depende de los demás, su lado pasivo no excluye un cierto dinamismo puesto al servicio de su necesidad afectiva, que se expresará en diversas solicitudes, pero también en una gestión artística, preferentemente acompañada de un tercero (música, danza, poesía, pintura). Una cierta inocencia, ingenuidad y una pizca de coquetería (no más) se integran con el encanto atractivo del 2 y redondea este retrato tipo.
El 2 negativo
Sumisión total. Caprichoso. Ocioso. Voluble. Espíritu de posesión, avaricioso. Tendencias ciclotímicas muy frecuentes. Sensualidad exacerbada. Soñador, utópico y descuidado.
Puede complacerse provocando en su círculo de relaciones situaciones duales con consecuencias catastróficas. Se trata de un excelente manipulador. Su fobia frente a la soledad puede incitarlo a frecuentar personas que ejercerán sobre él una influencia negativa. Entonces puede caer en un estilo de vida muy negativo para su equilibrio. Puede incluso llegar a provocar la aparición de una doble personalidad.
Para desarrollarse, el 2 necesita un tutor. Tiene que abrirse a los demás, desarrollar su receptividad a través de los diversos aspectos asociativos de la existencia (trabajo en equipo, deportes colectivos, ocio en grupo, etc.) Su sensibilidad de artista puede estimularse desde la infancia. Posee generalmente, un buen sentido del ritmo y un buen oído musical. Eventualmente, el arte gráfico o la literatura (poesía) le pueden permitir encontrar un equilibrio armonioso y revelar una vocación. No es posible dejar evolucionar o provocar al 2 (esto desde su más tierna infancia) situaciones duales y conflictivas. Su marco de existencia tiene que ser claro, bien definido con reglas estrictas sobre las que pueda apoyarse. Su orientación se sitúa hacia sectores de dependencia en el que su campo de acción se verá limitado por terceros. En él encontramos una búsqueda inconsciente de seguridad, de fidelidad y de estabilidad; por tanto, es peligroso dejarlo sólo a sus expensas, puesto que aspira a una unión en todas sus formas. Podemos destacar que se casa pronto.
Algunas observaciones:
El 2 tiene que abrirse a los demás desde su más tierna infancia. Integrado en una estructura asociativa es una gestión educativa importante (deportes de equipo, ocio en grupo… sobre todo en el caso de un hijo único). Su sensibilidad de artista se puede estimular desde muy temprana edad. Posee igualmente el sentido del ritmo y un buen oído musical. Esto puede suscitar una vocación en la medida en que evoluciona en un clima armonioso y receptivo a la dimensión artística de la existencia, pero yo insistiría, sobre todo, en los aspectos terapéuticos de estas experiencias que regulizarán el sistema nervioso del 2, demasiado afectado por agresiones externas. El diseño gráfico, la literatura y la escritura están también muy indicados. No es posible dejar al 2 que se desarrolle en situaciones duales.
Su marco de existencia, familiar y profesional, tiene que ser límpido, definido por reglas estrictas sobre las que él pueda apoyarse. Es preferible repetirle dos veces una recomendación… en lugar de dejar que se instale la duda (aunque sea artística). Por tanto es necesario orientarlo hacia estructuras sanas capaces de responder a su necesidad imperiosa de seguridad y estabilidad.
Una observación respecto a los niños con problemas en lo escolar, una experiencia en un marco de internado o seminternado puede aportar la solución, o sencillamente clases particulares, junto a un seguimiento más serio de los padres o educadores.
Respecto a la salud
Será necesario cuidar los siguientes puntos: sistema nervioso (ansiedad, depresión), estómago (úlcera), sistema digestivo, riñones y región lumbar (vértebras), la vista (corrección de los nervios ópticos, cansancio nervioso).
</t>
  </si>
  <si>
    <t xml:space="preserve">Imaginación. Expresión 3
El 3 equilibrado
Su fecunda imaginación es su mejor triunfo, sabe extraer el aspecto insignificante de una situación calificada como dramática y aligerar considerablemente la atmósfera. Manifiesta grandes capacidades de apertura de espíritu, un sentido innato de la comunicación; se trata de un activista en potencia; no sabe estarse quieto en ningún lugar… Todas las ocasiones son pretextos para festividades; le encanta recibir; le gusta la popularidad, es entusiasta, cautivador, se adapta a las situaciones, a las atmósferas y encuentra el tono justo que seduce. Su ambición es tan poderosa como su apetito, sabe mantenerse en total disponibilidad interior y presentarse en plena posesión de sus medios frente a la suerte, que le sonríe a menudo…
Su éxito es insolente, su imagen externa se ve por ello reforzada, lo que todavía le estimula más. Evoluciona a través de un fenómeno de identificación clásico: su inconsciente se siente atraído, obnubilado, por un nuevo valor de referencia en forma de un personaje que simbolizará una superación del yo para poder acceder a lo que él representa… Una ideología, una creatividad singular, una filosofía, un compromiso espiritual, un ambiente de negociadores empedernidos, una experiencia mediática, et. Todas las puertas se le abren debido a sus excepcionales capacidades de integración social, profesional y otras… ¡Es un verdadero comodín! Su generosidad no se limita a dispensar con altruismo sus cualidades artísticas de expresión verbal, le gusta compartir sus alegrías con brillo, lo que trastorna regularmente su equilibrio financiero. Es muy coqueto, raras veces descuidado, cuida siempre su apariencia, puesto que para él refleja siempre un fondo de verdad.
Su lado juvenil le incita a la glotonería en todos los sentidos del término, los placeres de la mesa, los placeres de la carne y también los placeres del amor, que le llevarán al matrimonio… a veces con retraso. Particularmente responsable, sabrá llenar su entorno familiar con calor, ternura y alegrías…
El 3 negativo
Las energías no están analizadas hacia una única dirección a la vez, la dispersión es total, se trata de un ser superficial, orgulloso, celoso y envidioso. Su inmadurez es muy pronunciada; rechaza (inconscientemente) crecer a través de manifestaciones coléricas violentas, excesos de todo tipo y desgastes extravagantes. Es rencoroso, autoritario, inestable, megalómano, amoral y muy vanidoso.
Algunas observaciones:
Se trata de un individuo a priori polivalente y que posee una necesidad vital de valorizar sus capacidades de expresión. Sus terrenos de acción se sitúan en general en las profesiones públicas: ventas, negociaciones, ámbito de la información, animación sociocultural, ocio, deportes, turismo, investigación, et., sin olvidar, evidentemente sus excelentes facultades creativas, que se pueden expresar en un contexto artístico (teatro, canto oral, composición musical). Se siente empujado por el deseo de dar forma a sus ideas.
En lo educativo, el 3 como número de expresión sensibiliza la orientación hacia un aprendizaje por niveles sucesivos, para que se acostumbre a dominar y analizar sus energías.
Las actividades (a menudo múltiples) tienen que estar limitadas en el tiempo en un principio, luego desarrolladas en un tiempo más amplio, con el objetivo de mantener su atención y su concentración. De esta forma evitará caer en la trampa de la calidad del aficionado descuidado.
Es necesario insistir y valorizarlo en un trabajo en profundidad, meticuloso, hasta que domine “todas las piezas de puzzle”…
Es necesario estar atento para que el niño tenga su ración de juegos, de ocio, puesto que es muy importante para su equilibrio… pero sin por ello caer en el activismo.
Su deseo de evolución tiene que ser obligatoriamente estimulado mediante referencias y conceptos positivos que pueden presentarse al principio con la forma de mimetismo.
Numerosas personas con un 3 como número de expresión están caracterizadas por una gran facilidad de asimilación lingüística (intérprete, traductor, profesor).
Un 3 armonioso sabe “apresurarse lentamente”…
Respecto a la salud
Todos los excesos serán sancionados en proporción y en duración.
Bebida = embriaguez, trastornos secundarios y alcoholismo de convivencia (el más frecuente).
Tabaco = insuficiencia respiratoria, tumores, bronquitis crónicas, cáncer.
Sexualidad = anafrodisia, trastornos e infecciones secundarias, enfermedades de transmisión sexual…
Alimentación demasiado copiosa = sistema hepático debilitado, circulación de la sangre, vesícula biliar.
La garganta (anginas, cuerdas vocales, tiroides, laringe). Trastornos de la elocución.
</t>
  </si>
  <si>
    <t xml:space="preserve">Autoprotección. Expresión 4
Expresión 4 En esta configuración el 4 representa una fachada. Defensa natural de autoprotección.
El 4 equilibrado
Como la esfinge, se trata del guardián de la tradición… Se encierra en una forma de rigor, de autodisciplina ejemplar para unos, retrógrada para otros. Consciente, perseverante y metódico, representa los valores fundamentales que estructuran con solidez todos los pensamientos creativos, todas las gestiones constructivas. Evoluciona en un marco de actividades en el que las tareas, las responsabilidades y los atributos de cada uno están muy definidos.
Un profundo respeto por la jerarquía, las reglas y los métodos probados que no dejan lugar a los imprevistos y a la fantasía, coloca piedra a piedra su modesta contribución a la cantera de la vida.
Sus contactos sociales se reducen la mayoría de las veces a su más mínima expresión. Raras veces es expresivo, emite una desconfianza sistemática en la primera impresión, puesto que para él comprometerse en una relación privilegiada proviene del espíritu de empresa. Es profundamente bueno, generoso y fiel; se trata de un corazón tierno que sabrá crear lazos de amor y de amistad indestructibles para aquellos que sepan esperarlo. Su inquietud es permanente, esta búsqueda obsesiva de la seguridad es su manifestación más concreta. Es muy susceptible, sobre todo si se replantean convicciones que él creía sólidas, pero apresurará a consolidar las antiguas estructuras debilitadas o a participar en la elaboración de otras nuevas, con reflexión, previsión y minuciosidad, por el bienestar de todos. Su apariencia no es más que la fiel proyección de su profundo ser: ¡sobrio! Apodado como el constructor de catedrales, es el pilar de cada generación; su papel es mantener un equilibrio justo en la alternancia.
A menudo se muestra inalcanzable y es incomprendido, se define a sí mismo a través de estas palabras del rey Salomón: “Existe un tiempo para todo. Bajo el cielo encontramos un momento para cada cosa. Existe un tiempo para morir, un tiempo para sembrar. Un tiempo para cosechar lo que se ha sembrado”.
Su mejor aliado es el tiempo, sus actos concretos y profundos no parecen luchar contra él, sino más bien al contrario. Por eso siempre es puntual. Se encuentra cerca de la tierra, de los elementos, donde vuelve a sus raíces profundas y medita. En lo iniciático se encuentra en contacto con las energías sutiles de la naturaleza, se trata de la vía del paganismo (paganu = campesino). Su sentido del ritmo y de la orientación es innato.
Sus gustos y sus placeres son sencillos y su lado conformista lo incita a integrarse en el entusiasmo tradicional de las fiestas, en las que se muestra un buen vividor, con gran riesgo para algunos…
El 4 negativo
Se encierra en sus costumbres y en sus prejuicios, que excluyen cualquier posibilidad de expansión.
Intransigente y dogmático, no invierte en su actividad y frena la evolución general. Lento y eternamente indeciso, transmite (con generosidad) su ansiedad al entorno, lo que trastorna considerablemente la calidad de sus relaciones humanas y, como consecuencia, la calidad del trabajo.
Reacciona siempre con exageración a una crítica y puede llegar a manifestar rencor y odio.
Es autoritario, tiende a abusar de sus poderes en su marco familiar o profesional.
No tiene fantasía ni humor. Es incapaz de adaptarse a los cambios.
Es demasiado meticuloso, da una importancia desmesurada a los detalles insignificantes y puede perder la visión global de las cosas.
Algunas observaciones:
Con un 4 como número de expresión, la infancia se ve determinada por un gusto por la búsqueda de valores sanos. La autoridad corresponde a una necesidad vital, aseguradora y estimulante. Si no se encuentra presente en el marco familiar, se trastornará, no encontrará sus señales y se refugiará en una forma de atrincheramiento espontáneo, lo que no facilitará su integración escolar y social.
Tiene que aprender a adaptarse, a abrirse al mundo, y todo ello en un clima de seguridad.
Numerosas personas con el número 4 como número de expresión se dedican a la administración, el servicio público (seguridad en el empleo), la agricultura, la veterinaria, el pequeño comercio, la economía, la construcción, la bisutería, la joyería, la ley, así como a otras numerosas profesiones en las que los problemas de fondo se plantean. Busca tener responsabilidades en la medida en que pueda explotar sus dotes de organización y de análisis, su rigor, sus métodos y su minuciosidad. Posee un acercamiento concreto y evolucionará más fácilmente en una profesión estable.
Respecto a la salud
Los terrenos receptivos son: la estructura ósea, las articulaciones, los huesos, los dientes y la piel. Artrosis. Descalcificaciones. Reumatismos. Problemas dentales y dermatológicos. Fragilidad de los miembros inferiores. Cadera (riesgo de fracturas). Parálisis. Malformación. Fracturas de las extremidades. Agorafobia (miedo a los grandes espacios).
</t>
  </si>
  <si>
    <t xml:space="preserve">Riquezas potenciales. Expresión 5
Expresión 5
El 5 representa riquezas potenciales procedentes de experiencias relacionadas con el pasado, pero también el temor legítimo por el porvenir. Es el primero y el único que atraviesa el santuario de lo desconocido. El cordón umbilical está cortado, el 5 tendrá que explotar sus recursos para actuar en el sentido de una gestión iniciática experimental. Posee en sí mismo todos los valores positivos y negativos de los cuatro elementos precedentes e intentará armonizarlos, con lo que esto implica en cuanto a conflictos y contradicciones internas.
El 5 equilibrado
Desdobla sus facultades frente al misterio en todas sus formas. Intenta establecer lazos de unión directos y complementarios entre sus energías, para permitirle acceder al goce simbólico de sus capacidades. Se trata de un aventurero. Contemplativo y muy intuitivo, su poder de investigación es tan potente como eficaz. Busca la independencia, incluso la provoca si es necesario; se siente etéreo, por esa razón se adapta en cuerpo y alma a las múltiples situaciones que atrae a su campo de acción. En el teatro del cada día, Arlequín es su personaje.
Su gran agilidad de ánimo facilita su integración en todos los medios sociales o culturales.
Sus contactos son cómodos, desprende un gran magnetismo, se trata de un diplomático nato. Los viajes del cuerpo y del espíritu forman parte integrante de su existencia. Nada le molesta más que la monotonía y el sedentarismo; su instinto de vida lo empuja a multiplicar las experiencias que favorecerán su despiste. Puede concentrar todas sus fuerzas sobre un proyecto, una relación pasional, una actividad… Le gusta fijarse objetivos a corto plazo. La paciencia no es su fuerte. Es siempre muy persuasivo cuando defiende una idea, un proyecto o una persona a la que aprecia. Se apodera rápidamente de todos los puestos de responsabilidad que se le conceden  desde el momento en que se beneficia de una gran libertad de acción. Sucede lo mismo en el ámbito de su vida privada, su pareja tiene que ser flexible, relativamente autónoma, un poco como un camaleón.
Se siente muy atraído por la belleza plástica, cuida su cuerpo y también su espíritu. Está dominado por su espontaneidad infantil, por lo que el tiempo no parece pasar para él.
El 5 negativo
Inestabilidad. Impulsividad. Inconstancia. Gran tensión interior que puede provocar reacciones violentas. Gusto por el riesgo excesivo. Espíritu irresponsable, inmaduro e influenciable. Temperamento ciclotímico, impaciente, descuidado, excesivo, depresivo. Inhibido por sus ansias.
Algunas observaciones:
El niño marcado con el número 5 como número de expresión necesita evolucionar en un clima aireado, en el que los límites sólo se justifiquen en un contexto de seguridad y de referencias educativas.
Su necesidad de movilidad tiene que satisfacerse a través de los juegos, la actividad deportiva y su desarrollo espiritual.
Puede manifestar desde muy joven angustias que trastornen su equilibrio y su salud; es importante neutralizarlas desde un principio con la ayuda eventual de un especialista.
De forma paralela a los cuidados, se tendrá que estimular al niño hacia una actividad en la que intervengan sus capacidades corporales, artísticas y deportivas, favorecer los intercambios lingüísticos o las vacaciones, estancias en el extranjero si es posible. El niño suele sentirse desorientado. Un estado estático permanente alimenta su ansiedad innata. Se tendrá que favorecer igualmente su riqueza interior mediante lecturas, enseñanzas diversas, conferencias, ocio…
Con el número de expresión no es fácil aconsejar una orientación precisa, puesto que las capacidades del 5 son importantes. Pero si razonamos a la inversa, es claramente más fácil determinar lo que es necesario evitar de forma prioritaria: todas las profesiones muy jerarquizadas, el trabajo monótono y repetitivo, así como las actividades clasificadas como sedentarias.
Encuentra grandes salidas en el teatro, la animación, la danza, el turismo, el transporte, la representación, el artesanado, el periodismo, el reportaje, el deporte, la enseñanza, todas las situaciones independientes…
Respecto a la salud
El desarrollo psicomotriz y de la altura se ven retrasados. Se pueden presentar problemas sexuales a veces importantes. Caja torácica: problemas respiratorios y asma. Angustia: sensación de ahogo, dolores y claustrofobia.
Cuidado con los riesgos de accidentes por imprudencia relacionada con una actividad deportiva o que afecta al cuerpo, así como durante los desplazamientos o en profesiones de riesgo.
</t>
  </si>
  <si>
    <t xml:space="preserve">Fidelidad. Expresión 6
En la simbología gráfica de los números, el 6 representa el Sol dominado por la Luna. Su dimensión, por tanto, está teñida de afectividad. Venus, la diosa de la belleza, ha situado su domicilio en las redondees artísticas del número del amor.
Se trata de la noción de servicio que lleva a la luz y no al contrario…
El 6 equilibrado
El 6, que va siempre en busca de equilibrio, posee aspiraciones elevadas, sus gustos son refinados y está sujeto a los valores sociales. Se considera como el elemento motor, indispensable, sobre el que descansa toda la armonía de su vida familiar, como consecuencia, acumula con una facilidad sorprendente las responsabilidades, las cargas debidas a su rango y todo tipo de obligaciones, hasta el exceso.
Su sentido innato de la belleza en todas sus formas lo inclina hacia el perfeccionismo. Su marco de vida es muy caluroso, le gusta implicarse en situaciones externas a su hogar en las que su papel de negociador, de diplomático, está muy solicitado. Necesita que le animen en sus gestiones; su armonía interior está sujeta a las fluctuaciones afectivas de su vida relacional.
Es un idealista, quiere ponerse, ante todo, al servicio de los demás. Dar muestras de una gran disponibilidad, de amabilidad, es una cosa fácil para una persona que se apasiona descubriendo el mecanismo tan complejo de la evolución humana. Sus juicios están impregnados de una gran subjetividad. Muchas veces embellece las cosas o los acontecimientos, es el rey de la presentación. Persigue constantemente la elegancia, su paso es orgulloso y muy cuidado, de su estilo de vida se desprende una cierta nobleza, con o sin razón.
En un contexto profesional, busca la simbiosis perfecta con su entorno, hasta incluso puede sobrepasar sus prerrogativas. Sobresale en situaciones conflictivas. Debido a sus capacidades de diplomacia y de conciliación, nos encontramos ante un negociador muy valorado. Sin embargo necesita sentirse apoyado en sus gestiones. Se ve afectado por los flechazos, en su juventud se enamorará varias veces a la semana pensando siempre que se trata de la última vez… En la edad adulta se fijará sobre aspectos más materiales, siempre con el mismo entusiasmo. Su vida paree estar llena de encrucijadas internas, cuando acaba de situarse se encuentra de nuevo ante otra elección, y esto es así en todos los ámbitos. Va siempre en busca de una perfección ilusoria, de una relación de más calidad, lo que explica sus legítimas indecisiones.
Es muy receptivo, posee una dimensión artística y musical y un gran sentido de la estética, adora compartir sus gustos y sus afilones con su círculo de relaciones privilegiadas.
El 6 negativo
Es una verdadera veleta muy influenciable. Presenta una gran inestabilidad de cráter, está dominado por sus emociones. Sus celos son enfermizos. Es mediador y esclavo de las convenciones. Es superficial. Tiende siempre a hacer demasiado. Inmoralidad. Sensualidad exacerbada. Infidelidad. Susceptibilidad. Pereza. Exigencia desplazada. Obsesión excesiva por la higiene. Gusto por el lujo demasiado pronunciado, tendencia a vivir por encima de sus posibilidades.
Algunas observaciones:
Ayudar al niño a aceptar sus elecciones, a no desbordarse de forma sistemática sobre los demás. Desarrollar la noción de servicio. Animarlo en sus acciones. Necesita manifestaciones concretas del amor que se le otorga. El sentido de la belleza en todas sus formas y de la armonía forma parte integrante de su universo, es necesario ser sensible a ello. En algunos casos, los animales domésticos ayudan a la evolución del 6 y lo sensibilizan ante la noción de responsabilidad y de servidumbre.
No se le debe sobreproteger.
Tiene que vivir sus propias experiencias. En el marco de una orientación, el 6 puede seguir grandes estudios, acceder a una vocación, entrarse en un ideal destacado, con la única condición de que esté siempre apoyado en su amino. Es indispensable.
Su gran sensibilidad artística, su sentido de la estética y su interés por lo humano facilitan aperturas en ámbitos como la moda, el arte, las antigüedades, la arquitectura, la inmobiliaria, la decoración, la publicidad, el mundo musical, la psicología, las ciencias humanas, la medicina, el pequeño comercio, el artesanado, las empresas de trabajo temporal, el personal, las relaciones matrimoniales (agencias, consejero). Muchos 6 evolucionan como padre o madre en el hogar.
Respecto a la salud
Los terrenos receptivos son: el corazón, el sistema cardiovascular (riesgo de infartos), la columna vertebral, las vértebras. Chequeos regulares para prevenir las enfermedades crónicas. Problemas ginecológicos.
</t>
  </si>
  <si>
    <t xml:space="preserve">Personalidad reflexiva. Expresión 7
La dimensión de este número es toda interior. Evoluciona en un paraíso del Edén que puede parecerse a un verdadero hogar virgen… Igual que la estrella de David dominando la dualidad de este mundo, el septenario une las fuerzas espirituales y materiales en el simbolismo del arco iris…
El 7 equilibrado
Es inaccesible y es el pionero en su especialidad. No se pierde nunca. Es fiel a sus compromisos, profundizará en sus investigaciones sea cual sea el sector, y sólo dejará ver sus hallazgos después de muchas reflexiones. Cuando su sed de conocimientos esté satisfecha, buscará en otros horizontes. Su capacidad de investigación es impresionante, se percibe toda la importancia de la relatividad del tiempo en su compañía. Sus métodos, a veces irracionales, son seguramente desconcertantes, pero terriblemente eficaces. Su espíritu analítico, unido a una excelente facultad de síntesis, aumentada por una gran capacidad de trabajo, hacen de él un verdadero motor intelectual y espiritual. Evoluciona en un clima de calma y de serenidad, y acepta sólo la autoridad o la jerarquía en un contexto de complementariedad indispensable. Se trata de un independiente, su libertad de acción y de pensamiento es total, no soporta ninguna restricción.
Su círculo de relaciones es muy reducido, no es muy sociable, no aprecia mucho los movimientos de masas, las muchedumbres, sólo se libera en ambientes reducidos. La amistad es un valor que respeta, pero sus verdaderos sentimientos son percibidos de forma errónea por el entorno. Habla de amistad amorosa e intenta conservar su celibato durante el mayor tiempo posible.
Sus frustraciones afectivas y sus decepciones se ven rápidamente compensadas por su hiperactividad cerebral. Es muy sensible, sus sentimientos son profundos y sinceros, pero a veces comete muchas torpezas para expresarlos.
Con él no se pueden hacer trampas; se trata de un gran psicólogo, es muy intuitivo y descubre enseguida el error, tanto en ambientes de negocios como en lo humano.
Es soñador, distraído, su lado torpe provoca equivocaciones y crea situaciones en las que sólo la burla encuentra lugar.
El 7 negativo
Introversión excesiva. Misantropía. Egoísmo. Orgullo. Intolerancia. Arribismo. Indisciplina. Estilo de vida caótico. Desequilibrio material, posibilidad de estafa financiera. Fanatismo religioso… (atracción e integración en una secta o grupo equivocado.
Algunas reflexiones
En general, el niño con número de expresión 7 es estudioso, siempre que evolucione en un ambiente tranquilo…
Es necesario orientarlo para que evolucione su sentido de la comunicación y de la expresión, para que salga de su burbuja misteriosa. El niño y el adolescente fantasean mucho, puesto que su imaginación es fecunda. Se precisa una aproximación concreta a la realidad para que puedan por sí mismos restablecer el equilibrio al nivel adecuado. Hay que favorecer su curiosidad y desarrollar su sentido práctico.
En muchos casos tienen que descubrir los aspectos materiales y financieros de la existencia. Se recomienda un buen aprendizaje de la gestión. Las lenguas extranjeras con sus implicaciones a todos los niveles también están muy aconsejadas, pero la adaptación será laboriosa.
Encontramos muchos 7 en los siguientes ámbitos: la investigación científica, la literatura, la informática, la medicina, la psicología, la investigación policial, la contabilidad y el peritaje, la enseñanza.
En la mayoría de los casos busca un trabajo específico, una especialización profesional a la que dedicar toda su energía, sin buscar la evolución en una independencia incluso relativa.
Respecto a la salud
Las glándulas en general son un ámbito receptivo. Se tiene que cuidar el equilibrio en vitaminas y minerales.
Insomnio, depresión, agotamiento intelectual. Gusto excesivo por los placeres artificiales (alcohol, droga).
</t>
  </si>
  <si>
    <t xml:space="preserve">Personalidad equilibrada. Expresión 8
Expresión 8
Símbolo del equilibrio debido a sus dos partes esféricas: el espíritu, en su parte superior, y la materia en la inferior; el 8 está también compuesto de dos ceros. Números del karma… De la cosecha… La existencia del octonario es una sucesión de alternancias entre las dos dimensiones de este número.
El 8 equilibrado
El 8 simboliza la fuerza de concreción. Se trata de un individuo combativo, ambicioso; su deseo más profundo es triunfar, puede multiplicar las experiencias y los fracasos, puesto que, como el Fénix, renace siempre de sus cenizas. Su poder de recuperación es impresionante. Posee una excelente resistencia física frente a las adversidades de la vida. Para él la vida es una aventura audaz o no es nada…
Sus relaciones con lo material, el poder, el dinero… son de tipo sentimental. Su evolución está, además, estrechamente relacionada con la de los negocios. No se trata de un individuo de compromisos. Es sobrio e inflexible y cualquier forma de injusticia le molesta. Busca las situaciones claras, precisas, sin ambigüedades, y las aclarará cuando sea necesario cortando por lo sano. En el marco de una estructura profesional importante, obtiene fácilmente la adhesión, incluso la admiración, de su entorno. Su eficacia, su rapidez, su perseverancia se encuentra a la altura de su reputación. Sin embargo necesita un campo de acción muy amplio ante él para explotar de la mejor forma posible sus capacidades. Cualquier forma de obstáculo a sus gestiones provocará luchas. No quiere y, de hecho no puede, quedarse con una derrota o una victoria amarga, y partirá a la conquista de un éxito todavía más tenaz.
¿Su talón de Aquiles? Su vida sentimental… Es débil en el amor, se reviste completamente de ternura y generosidad. Sin embargo, tiene emociones fuertes y sus relaciones afectivas se viven de un modo pasional. Se muestra posesivo y celoso; se trata de la expresión de su inseguridad interna, así como  de sus instintos de combate en la vida cotidiana. ¿No es el ataque una de las mejores defensas? En efecto, las escenas no son realmente su estilo…
Posee unos nervios de acero, los de los grandes jugadores profesionales, consigue concluir algunos negocios incluso en vacaciones, desprende un gran aire de prosperidad aunque esté arruinado.
El 8 negativo
Tiene un carácter muy rencoroso, agresivo, violento, irresponsable de sus actos y de las consecuencias. Se trata de la esencia de los dictadores. Personalidad destructiva hacia sí misma o hacia el entorno. Poco escrupuloso en los negocios, es inflexible, impaciente, su rencor es feroz y su gusto por el drama es muy pronunciado.
Es necesario destacar que cuando el 8 se orienta hacia un camino involutivo, aparecen numerosas advertencias; guiados por la ley del karma, pueden manifestarse de diversas formas (bloqueos temporales de salud, vida afectiva trastornada…). Si no las tiene en cuenta y continúa sus gestiones negativas, la sanción final será proporcional.
Algunas reflexiones
El 8 es el deseo de la concreción, de materialización que sobresale. “Con madera hará muebles…”,  por ejemplo. A través de actos concretos se situará en su camino evolutivo y conseguirá superar un complejo de inferioridad que arrastra desde la infancia. Es necesario inculcarle la noción de respeto ajeno.
Su potente energía hace de él alguien combativo ante todo. Se trata de un ganador. Se recomiendan todas las actividades relacionadas con los negocios, pero también las de riesgo o especialidades profesionales audaces que precisan un excelente equilibrio: el medio financiero, el marketing, el comercio, los deportes, el ocio, la informática, la investigación médica, la cirugía, la política, la alta administración, todas las profesiones judiciales, el mantenimiento del orden (la policía, el ejército, la guardia civil), la competición deportiva con riesgo, etc.
En la medida de lo posible, es necesario evitar confiarle un puesto de negociación que necesite tacto o diplomacia, a menos que no vaya acompañado con un 6 muy potente que equilibre las relaciones.
Numerosas personas que tienen el 8 como número de expresión manifestarán un día el deseo de acceder a una independencia profesional: profesiones liberales, autónomos, comercio…
Respecto a la salud
El individuo, muy difícil de cuidar, espera a menudo hasta el último momento.
Problemas digestivos. Tendencia a la obesidad. Operaciones quirúrgicas a veces frecuente. Riesgos de accidentes relacionados con el estilo de vida. Problemas sexuales.
</t>
  </si>
  <si>
    <t xml:space="preserve">Personalidad emprendedora. Expresión 9
El 9  equilibrado
Su energía es potente, va allí donde lo arrastra su ideal, no es una persona que admita concesiones. Se implica con pasión en una misión en la que da lo mejor de sí mismo. Gran parte del tiempo va en busca de acciones humanitarias, pero también puede evolucionar en el mundo de los negocios internacionales, puesto que el 9 equilibrado sabe tener los pies en el suelo (primera etapa que conduce a la sabiduría).
Su espíritu caballeresco está caracterizado, por tanto, por una gran lucidez.
Su naturaleza profunda es reformista; se trata de un idealista, sus perspectivas son globales, busca y provoca las aperturas, es dialogador.
Su integración en una estructura asociativa, en un trabajo de equipo, aporta al grupo una dimensión nueva. Se trata de un elemento estimulante, enriquecedor, debido a las enseñanzas que puede transmitir. Es un elemento motor en cualquier forma de iniciación. Se trata de una gestión natural de altruismo, efectuada sin mala intención. Su gran emotividad desequilibra un poco este retrato halagador, pues es, en efecto, muy receptivo a los ambientes, a los conflictos, y puede perder momentáneamente la compostura. Es una persona responsable, muy digna, que inspira confianza e impone respeto por su abnegación total. Es un idealista, incluso en el amor… Su vida afectiva se ve a menudo trastornada por sus numerosas actividades o sus compromisos. Le gusta mostrarse completamente disponible, lo que implica realizar elecciones y sacrificios. Necesita que le apoyen en sus acciones. Sus ideales o sus proyectos tienen que ser comprendidos por las personas que lo rodean, e incluso compartidos. Sus miras son largas, sabe dar muestras de indulgencia y respeta el derecho a la diferencia.
Sin embargo, tiene la necesidad de evadirse, no soporta los espacios restringidos o los límites injustificados que frenan su expansión. Se siente atraído por el extranjero en todos los sentidos del término (trabajo, ocio, sentimientos).
Su dimensión artística es potente, sus ambiciones son elevadas… y es un gran romántico.
El 9  negativo
Idealista excesivo, puede perder el sentido de la realidad. Incoherente en su forma de pensar y en su estilo de vida, pasa por estados emocionales extremos. Pesimista, inquieto, ciclotímico, malhumorado, influenciable y orgulloso.
Algunas observaciones
El niño que tiene el número de expresión 9 es, por naturaleza, expansivo. Su energía tiene que canalizarse, pero no se le debe reprimir: cuanto más extenso sea su plan de acción más evolucionará. Su potente emotividad puede dar lugar a bloqueos internos. Es necesario evitar, sobre todo, los choques afectivos violentos y los conflictos abiertos, favorecer sus impulsos humanitarios, al mismo tiempo que se le enseña el sentido de la realidad concreta. Se trata de un niño que carece de defensas al principio, por lo que es necesario enseñarle a protegerse. Las lenguas extranjeras son excelentes para su evolución, favorecen la capacidad de apertura y facilitarán sus proyectos.
De adulto, el 9 puede acceder con soltura a trabajos internacionales, así como a las distintas actividades que conciernen al ser humano; la enseñanza en todas sus formas, las nuevas tecnologías, la investigación y el ocio. Los viajes se ven favorecidos.
Respecto a la salud
Se pueden manifestar enfermedades psicosomáticas, diversas infecciones, excesos en los placeres artificiales (droga, alcoholismo). Tendencia depresiva.
</t>
  </si>
  <si>
    <t xml:space="preserve">Personalidad constructiva. Expresión 11/2
Por lo que se refiere a este número maestro, es necesario saber que tiene que vivir de forma constructiva. Los aspectos negativos están, en efecto, relacionados con la energía potente, que puede acabar afectando al individuo. Es un individuo con aspiraciones, profundamente dual por definición, que manifiesta una gran intransigencia frente al entorno. Un carácter potente pero una sensibilidad casi infantil.
La dimensión afectiva es omnipresente, busca compañeros sumisos, lleva su ambición hasta sus aspiraciones íntimas y puede perseguir sus objetivos con determinación. El entorno es indispensable para su equilibrio. Se trata de un individuo que depende de los demás, pero que no reconoce esa condición vital, se cree indispensable, el elemento motor; en algunos casos podríamos hablar incluso de complejo de Apolo. Es impulsivo, violento, impaciente, en la mayoría de los casos domina y afirma sus competencias, lo persigue la intolerancia…, lo que no facilita la armonía en sus relaciones humanas. Es muy inteligente, dispone de un espíritu de análisis, es muy eficiente si está motivado. La dimensión humanitaria está muy pronunciada, sobre todo en los intereses profesionales.
Puede manifestar una gran atracción por la espiritualidad (magnetismo, revelaciones, evangelización…). En la medida en que los elementos del tema permiten aperturas en lo artístico (cualidades innatas…), el éxito puede llegar rápidamente, a consideración que los aspectos asociativos se tomen en consideración. Puede evolucionar en varios proyectos y mostrarse ambiguo en sus elecciones, sobre todo en las afectivas. Se trata de un ser de gran tensión nerviosa que no soporta la autoridad. Es necesario actuar con delicadeza y pensar siempre que es muy receptivo y muy sensible. Su sensibilidad extrema está relacionada con una aguda inteligencia.
Todos los trabajos claves de la vida parecen convenirle, las profesiones más diversas, siempre que evolucionen en un contexto seguro. El camino de la vida es determinante, resaltará el valor del campo de acción privilegiado y las distintas aperturas.
Respecto a la salud
Las características del 2 se amplifican, y los valores del 1 se tienen que tomar en consideración… El origen de los problemas es, muy a menudo, nervioso (de tipo psicosomático).
</t>
  </si>
  <si>
    <t xml:space="preserve">Idealista de la construcción. Expresión 22/4
Se trata del gran idealista de la construcción. Sus proyectos son de magnitud universal, su ambición no tiene límites, puesto que quiere edificar por el mundo.
Se trata de un visionario, invierte para el porvenir. Es un personaje de excepción, muy raro, pero la potencia del 22 sólo puede ser vivida positivamente por una élite.
Todos los elementos del tema se tienen que tomar en consideración para apreciar el valor de este número maestro. Sus capacidades de organización y de trabajo son fuera de lo común, sus intereses humanitarios son evidentes, pero dentro de una perfecta lucidez puesta al servicio de la actividad o de la misión, puesto que el 22 se invierte en un ideal muy elevado.
Su vida privada pasa a ocupar, en general, un segundo plano, aunque en realidad es indispensable para su equilibrio. Necesita sentirse apoyado en sus gestiones, aunque no siempre expresa sus verdaderos sentimientos. El acercamiento a él suele ser difícil, ya que impone respeto. Busca los contactos sociales que le sirvan al mismo tiempo de puntos de referencia; en caso necesario, se convertirá en formador para sostener las ambiciones que aseguren la continuidad de la obra…
Evoluciona en el mundo de la salud, la política, los negocios (a menudo internacionales) y puede incluso marcar una época. Todas las orientaciones son favorables, se necesitará mucho tiempo antes de que consiga triunfar y mucho apoyo a todos los niveles.
En los aspectos negativos (desgraciadamente muy corrientes) se constatan estados de desequilibrios psíquicos y nerviosos. Una forma de irresponsabilidad, de provocación, etc.
Respecto a la salud:
Será necesario cuidar los siguientes puntos:
Sistema nervioso (ansiedad, depresión), estómago (úlcera), todo el sistema digestivo, riñones y región lumbar (vértebras), la vista (corrección de nervios ópticos, cansancio nervioso).
Además como 4: la estructura ósea, las articulaciones, los huesos, los dientes y la piel. Artrosis, descalcificaciones. Reumatismos. Problemas dentales y dermatológicos. Fragilidad de los miembros inferiores. Agorafobia (miedo a los grandes espacios).
Atención: Debemos recordar que todas las personas son una mezcla de características positivas y negativas, nadie es totalmente positivo o totalmente negativo, encuentre su propio balance.
</t>
  </si>
  <si>
    <t>Potencial</t>
  </si>
  <si>
    <t>Tu numero de potencial es 1</t>
  </si>
  <si>
    <t xml:space="preserve">Recibirás la oportunidad de mandar, dirigir, conducir. Serás muy independiente, creativo, original, sagaz, ambicioso y agresivo al encaminarse en el logro de sus objetivos. Debes evitar la tendencia negativa a ser obstinado, dominante y empecinado. Serás súper independiente, creativo y con dotes de conductor.
</t>
  </si>
  <si>
    <t>Tu numero de potencial es 2</t>
  </si>
  <si>
    <t xml:space="preserve">La tendencia será proclive a participar de lugares de bellas artes. Tendrás cualidades diplomáticas y puedes marchar junto con los demás y lograr que cooperen. Serás sabio a la hora de dar consejos y el transitar en profesiones que te permitan hacerlo será motivo de dicha y éxito.
Te agrada reunir datos y puede que te inclines hacia bibliotecas y museos. Tienes también tendencia espiritual. Debes evitar ser sometido.
</t>
  </si>
  <si>
    <t>Tu numero de potencial es 3</t>
  </si>
  <si>
    <t xml:space="preserve">Este número te dará la oportunidad de verdadera autoexpresión en tus palabras, ya sea en oratoria, literatura o arte escénico. Pronunciarás sin temor discursos sobre el tema de tu elección o actuarás en escenarios, pues tienes talento para usar las palabras y también el buen sentido del humor.
Seras creativo y con muy buena imaginación.
Debes cuidarte de no perder el tiempo al dispersar tus talentos transitando varias y diferentes cosas a la vez. Debes trabajar en pos de una meta bien definida.
</t>
  </si>
  <si>
    <t>Tu numero de potencial es 4</t>
  </si>
  <si>
    <t xml:space="preserve">Podrás concretar tus metas, siempre y cuando estas tengan un sentido práctico y constructivo. Eso sí, siempre tus logros te requerirán un considerable esfuerzo, pero tienes la constancia y el tesón necesario. Eres honrado, ordenado y simpático. Podrás volcarte hacia fines científicos o religiosos, o quizá también políticos. Pero tu postura será siempre ortodoxa, desechando toda posibilidad de transitar nuevos puntos de vista. Será mejor que aprendas a ser ahorrativo, ya que esto te ofrecerá resultados muy compensatorios.
</t>
  </si>
  <si>
    <t>Tu numero de potencial es 5</t>
  </si>
  <si>
    <t xml:space="preserve">Este número te brindará la oportunidad de recoger mucha experiencia de la vida. Tendrás posibilidad y libertad para realizar muchos viajes. Debes tratar que tus actividades se dirijan al mejoramiento y adelanto de los otros en general.
Cuando este número ejerce su plenitud, no será tiempo de descansar. Debes asegurarte de seleccionar muy bien tus intereses. Ser selectivo y concentrarte en un logro mayor.
</t>
  </si>
  <si>
    <t>Tu numero de potencial es 6</t>
  </si>
  <si>
    <t xml:space="preserve">Tu oportunidad de servicio está en su apogeo. Deberás aplicarlo más a la comunidad que a tu familia cercana, pues el 6 como número potencial es impersonal y abarcador.
Es muy posible que disfrutes de las comodidades hogareñas, tendrás un buen amor agregado a la satisfacción financiera. En tu última etapa, sobre todo, deberás asumir responsabilidades, ya que este número confiere facultades de padre universal. Estarán presentes todas las herramientas del triunfo para lograr objetivos que apunten al trabajo hacia los demás.
</t>
  </si>
  <si>
    <t>Tu numero de potencial es 7</t>
  </si>
  <si>
    <t xml:space="preserve">Es un muy buen numero de potencial de seguir fines mentales y espirituales. Como educador, maestro, guía, los demás te elegirán por sabiduría y por conocimiento. Puedes desear estar solo para retirarte y meditar, incluso, escribir sobre temas metafísicos y disciplinas alternativas, o seguir una línea inusual de pensamiento, inventiva o científica. Este número puede tornarte introvertido, especialmente al llegar la última etapa de tu vida.
Tendrás tendencia entonces a perfeccionar todos los conocimientos adquiridos en años anteriores.
</t>
  </si>
  <si>
    <t>Tu numero de potencial es 8</t>
  </si>
  <si>
    <t xml:space="preserve">Este número te dará gran posibilidad de expansión, fama, poder y reconocimiento. Necesitarás ser estricto contigo mismo, pues te requerirá capacidad ejecutiva. Tu meta puede ser supervisar y dirigir asuntos ajenos. Tal vez te sientas atraído hacia bienes raíces o también hacia la labor gubernamental.
</t>
  </si>
  <si>
    <t>Tu numero de potencial es 9</t>
  </si>
  <si>
    <t xml:space="preserve">Es el numero potencial del gran hermano de la humanidad. Debes tener visión universal, porque el mundo será tu terreno de batalla. Inclinandote hacia una vida impersonal, queriendo y ayudando a que los otros logren felicidad.
Las áreas del teatro, la literatura y las artes se te adecuan. La filantropía y el servicio estarán de parabienes si los transitas. Deberás evitar los intereses personales y la búsqueda para tí de bienes materiales y afectos. No tendrás que esperar ni siquiera el reconocimiento de los otros, pues tu felicidad radicará en dar, más que en recibir.
Este número colma de bondades y bendiciones a quien lo transita, según su influencia.
</t>
  </si>
  <si>
    <t>Tu numero de potencial es 11</t>
  </si>
  <si>
    <t xml:space="preserve">Podrás lograr notoriedad al amparo de este número.
Puedes sentirte atraído hacia el estrado, ya que muchos idealistas, líderes religiosos y maestros espirituales tienen este número potencial. El les da la posibilidad concreta de ser inspirados.
Puedes querer ponerte al frente de cualquier causa digna, atraerte también los campos de la televisión, aviación, o invención.
Tu recompensa puede llegar a ser la fama y la distinción, para esto deberá haberte preparado con anterioridad, no dejando todo para último momento.
</t>
  </si>
  <si>
    <t>Tu numero de potencial es 22</t>
  </si>
  <si>
    <t xml:space="preserve">Con este número llega la oportunidad de reconocimiento, no solo local sino también internacional. Para esto deberás haberte echado buenas raíces en los años anteriores a la última etapa de tu vida.
Muchos grandes estadistas, al igual que embajadores, tienen este número potencial. Se trabajará en beneficio del mundo y del tuyo propio, y no se tendrá ningún temor a la trascendencia, ya que el 22 te proveerá de las relaciones y de los aspectos necesarios para ser notorio en todos los campos que te son propicios.
</t>
  </si>
  <si>
    <t>Tu numero de potencial es 33</t>
  </si>
  <si>
    <t xml:space="preserve">Las personas que tienen esta vibración pueden llegar a ser grandes líderes espirituales, idealistas y soñadores.
A lo largo de tu vida irás recogiendo ideas e inquietudes artísticas, intelectuales y espirituales, y con el pasar de los años se hará más fuerte la motivación de convertirte en un maestro y llevar tus conocimientos y tu propia luz a los demás. 
Esta luz de enseñanza,… muchas veces de amor,… la llevaras junto a los más altos ideales y no vacilaras en sacrificar todo lo material o personal para defender tus sueños.
</t>
  </si>
  <si>
    <t>Tu numero de potencial es 44</t>
  </si>
  <si>
    <t xml:space="preserve">Serás prudente, sereno y honrado.
De una personalidad extraordinaria, con metas de vasto alcance personal y comunitario. Estás dotado de grandes cualidades de fuerza, magnetismo, persistencia y autodominio, lo que te permite alcanzar las más altas posiciones que el mundo puede ofrecer.
Te harás dueños de aquellas ingeniosas soluciones para los problemas que otros no puedan resolver. Llegaras a ser, en otras palabras, dirigente nato con una gran capacidad de análisis y razonamientos y total control sobre tu cuerpo y tu mente.
</t>
  </si>
  <si>
    <t>Año personal</t>
  </si>
  <si>
    <t xml:space="preserve">Año Personal: Uno
Se ha iniciado tu ciclo y estás viviendo el primer año de un grupo de nueve años personales. El Número Uno es el que inicia el ciclo de los nueve años, todo se renueva y cambia. Este es el Año que comienza algo diferente, el de los inicios de todo.
VIBRACION QUE IMPERA ESTE AÑO PERSONAL: COMENZAR
Casi siempre, cuando ocurre el Año Personal Uno nos enfrentamos a una etapa totalmente nueva en la vida, pueden estar quedando aún rezagos del ciclo anterior los primeros meses, pero la palabra de orden es prepararse porque todo cambará, será nuevo, diferente.
Quizás tengas ciertas ataduras pasadas, pero ya no te importarán tanto. Comienzas una etapa de cambios trascendentales en tu vida, Es hora de sacudirse lo negativo y atreverse a lo novedoso. Es el Año para planificar lo que se hará en el futuro. Ahora es el momento de iniciar un trabajo nuevo, viajar, mudarse, empezar algo diferente y atrevido, la vibración que hay es de energía, dinamismo.
En muchas personas en el Año Personal Uno ocurren encuentros que cambian totalmente su vida desde el punto de vista sentimental, o se comienza un ciclo nuevo de libertad después de una separación. Se inicia un empleo, carrera o actividad nueva, mucho se mudan o cambian de residencia, país, situación legal o social. Empieza algo diferente y concreto. Se consolida un matrimonio o relación amorosa estable.
Este año hay que tener el coraje para cambiar, para aceptar los retos, para enfrentar lo nuevo con la decisión necesaria sabiendo que tenemos en las manos el futuro y que podemos modelarlo a la medida de nuestros deseos y posibilidades. Este Año Uno de tu ciclo requiere mucha energía, ambición, decisión, actividad, no se puede dejar de trabajar, no se puede descansar porque es el Año que cambia todo, el de las oportunidades.
Observa cuales han sido tus Años Personales Uno en tu vida y verás como marca el inicio de una etapa. Puedes haber realizado el viaje de tu vida, haberte casado, ido de tu casa, terminado un estudio, en fin empezado a vivir algo totalmente nuevo y diferente en tu vida personal. Estás a tiempo de arreglar lo que no funcionó en tu ciclo anterior. Tienes nueve años de estreno frente a ti tocándote a tus puertas.
</t>
  </si>
  <si>
    <t xml:space="preserve">Año Personal: Dos
Estás entrando en tu Año Personal Dos, nada menos que el segundo año de tu ciclo de Nueve Años Numerológico. El Número Dos es el Número de la dualidad, de la pareja, de la asociación con otras personas.
VIBRACION QUE IMPERA ESTE AÑO PERSONAL: UNIRSE
Al estar viviendo en tu Año Personal Dos deberás ejercer mucha paciencia en el trato con las demás personas. Vas a encontrarte con muchas personas de ideas diferentes y por tanto implica la necesidad de ser tolerantes, entender más a quienes conviven con uno, trabajan a nuestro lado, ya bien sea como subalternos o como superiores, se requiere mucha paciencia para no estropear con imprudencias o precipitaciones los proyectos comenzados.
Es el año en el que se deben mantener las metas bien claras mientras se trabaja con los demás. Debido también a su naturaleza dual es el año para iniciar una relación con otra persona (muchos empiezan un noviazgo o relación, se casan, se juntan en este año) También puede ser el año de las sociedades, los socios de trabajo y gestiones, de casa, etc. El de recopilar información, hacer nuevas amistades, sociedades, alianzas.
Este es el año de las vibraciones, del amor y la compañía, los buenos amigos, inclusive del matrimonio o la unión con una pareja, pero también puede indicar el Año que se rompen asociaciones o se separan amantes y divorcian parejas. No obstante, este es el Año del pacificador y se puede lograr la cooperación necesaria para salir adelante. La clave es ayudar a los demás ya que de cualquier forma que ayudemos a otros nos estaremos ayudando mucho en este año.
Mira hacia atrás, explora en tu vida tus Años Personales Dos y saca tus propias conclusiones. Podrás descubrir muchos aspectos felices encontrados en tu vida. No hay nada imposible para ti si le pones una buena dosis de voluntad y optimismo.
</t>
  </si>
  <si>
    <t xml:space="preserve">Año Personal: Tres
Estás nada menos que en tu año de los viajes y desarrollo interno, en el Año Personal Tres. Te ha llegado la hora de mostrar la originalidad y la capacidad de inventiva. Posiblemente te encuentres viajando, estudiando algo, impartiendo cursos, actuando, cantando. Es un Año muy social con actividades prolíficas.
VIBRACION QUE IMPERA ESTE AÑO PERSONAL: VIAJAR
Tendrás muchas oportunidades de viajar, disfrutar de vacaciones y pasarla muy bien. Muchas personas realizan los viajes más felices de su vida o los más numerosos en sus Años Personales tres. Este es un Año para trabajar mucho con la intuición y la inspiración, para controlar el resentimiento, las palabras duras, los celos y obsesiones.
Es un año en el que se pueden lograr muchas cosas y disfrutar de ratos muy felices, pero en el que no se debe perder de vista los planes y proyectos a largo plazo. El Año Personal Tres es un Año que augura muchos éxitos en el trabajo, el estudio, la carrera o profesión siempre y cuando se sea innovador y se actúe con mucho tacto.
Asimismo, el Año Tres, al vivirlo plenamente, abre tu conciencia y te permite encontrar nuevas relaciones y disfrutar plenamente de las que ya tienes en estos momentos. Si pensabas irte de vacaciones a un sitio lejos de casa o estás pensando dejar definitivamente la residencia en tu país para instalarte en otro, o realizar un crucero o viaje importante, indiscutiblemente ahora estás en el mejor de los años, con soluciones felices en tu vida.
</t>
  </si>
  <si>
    <t xml:space="preserve">Año Personal: Cuatro
Estas en tu año del trabajo, de echar raíces, de lograr muchas cosas a través de tu esfuerzo personal. Las oportunidades vienen dadas por el trabajo. Es posible que trabajes más de la cuenta y no logres los resultados esperados, pero esto no debe desanimarte porque estarás sembrando para el futuro. Hay muchas actividades, poco tiempo para disfrutar en casa, viajar por placer o de vacaciones.
VIBRACION QUE IMPERA ESTE AÑO PERSONAL: TRABAJAR
Para no agobiarse en un Año Personal Cuatro y lograr el éxito hay que disponer de una magnífica organización personal, planificar muy bien el tiempo, conocer y trabajar las prioridades sin olvidarnos de alimentarnos adecuadamente, cuidar nuestra salud, practicar ejercicios, combinar el mucho trabajo que hay con las necesidades espirituales para no agotarnos física ni mentalmente.
Por otra parte al estar viviendo en este año tu Año Personal Cuatro requerirás un buen manejo del dinero, una magnífica administración, un control de las finanzas. Es el tiempo de comprar y vender, de las inversiones y de la actividad incesante. Los parientes necesitan ayuda, los amigos piden dinero, hay que estar constantemente en los bancos y los lugares donde se mueve la economía.
Este no es el Año en que se debe confiar en la suerte ni en la buena estrella sino en el trabajo duro, personal, la administración y organización y hay que hacerlo muy bien porque si no se hace así los rezagos caerían en el próximo Año Personal Cinco. Este número es la base de la Pirámide y muchos de quienes están viviendo el Año Cuatro podrán casarse, echar raíces, fundar un hogar estable.
</t>
  </si>
  <si>
    <t xml:space="preserve">Año Personal: Cinco
Este año está en el intermedio del ciclo de los nueve años, y por tanto es muy importante. La vibración de este Año es el cambio. Está formado por nuevos rostros e ideas, nuevas gentes y nuevos empleos, nuevos retos y nuevas sensaciones.
VIBRACION QUE IMPERA ESTE AÑO PERSONAL: CAMBIAR
Ocurren cambios de residencia, viajes, es el Año para salir de lo viejo, lo que no sirve, lo que está almacenado y está estropeando, las relaciones que retardan el desarrollo, las amistades oportunistas, el Año en que se abre el camino para lo nuevo, pero también un Año en que se está muy impaciente e inquieto, pero debe tenerse mucho cuidado y no tomar decisiones impensadas que pudieran pesar sobre los próximos Años del ciclo.
Para poder aprovecharlo bien te será muy importante no disgregarse, no tratar de hacer muchas cosas al mismo tiempo, este es el Año en que deberás planear muy bien tus actividades porque hay una tendencia a la precipitación y hacerlo todo corriendo. Es tu Año Cinco, y hay muchas oportunidades, pero una gran tendencia a querer hacerlo todo confiando demasiado en tu buena estrella y dejando muchas cosas sueltas, y ahí está el peligro.
El triunfo, el éxito está ahí, pero no se pueden dispersar las fuerzas ni las energías porque entonces se perdería la oportunidad y se escurriría como el agua de las manos. La mayor parte de las oportunidades están fuera de la rutina, y hay que aprovechar la magnífica intuición que despierta este año en todos para poder salir adelante airosamente de las dificultades que se presenten. Es un año espiritual, pero también para plantar bien los pies sobre la tierra.
</t>
  </si>
  <si>
    <t xml:space="preserve">Año Personal: Seis
Estás viviendo tu Año del Amor y de la responsabilidad doméstica. Habrá muchas obligaciones hogareñas, familiares, comunitarias, de trabajo y servicio, pero también es la vibración de la pareja feliz, del matrimonio, las uniones libres, los noviazgos.
VIBRACION QUE IMPERA ESTE AÑO PERSONAL: AMOR
Este es el año del servicio a los demás, la ayuda desinteresada, extender la mano a quienes más lo necesitan pues al trabajar por el bienestar de la humanidad estamos mejorándonos a nosotros mismos. El amor se debe extender. Si solamente pensamos en nuestra familia inmediata nos volvemos egoístas.
En este año Seis la lección de la vida es que debes ampliar tu amor a tu comunidad, tu país, el mundo. Cuidar los recursos naturales que están a tu cargo, aprender los valores de la ternura y la comunicación. Este es el Año que requiere pensar más allá, salir de nuestros muros sentimentales y pensar un poco más en el bien de la colectividad donde vivimos, del país, del mundo en general.
Las vibraciones de este Año giran mucho en torno al hogar y las cuestiones domésticas. Muchas personas se establecen en un sitio en un Año Personal Seis, o compran casa y residencia permanente, o adquieren una mascota como un perro o gato, un animalito que les acompañe en la casa, o les da por sembrar, plantar árboles, arreglar su casa, mejorarla.
Revisa tu vida y analiza como te ha ido en tus Años Personales Seis y te percatarás de la gran importancia sentimental que han tenido en tu vida. Es tu año para cultivar a plenitud lo mejor de vida interior.
</t>
  </si>
  <si>
    <t xml:space="preserve">Año Personal: Siete
Estás viviendo en el año del conocimiento cargado de vibraciones de conocimiento y sabiduría. Deberás estudiar y analizarlo todo a nivel espiritual, con más calma y cuidar mucho la salud, mejorar la mente de forma intelectual, enriquecerla con algún tipo de curso o estudio, viajar a lugares donde puedas enriquecer tus conocimientos.
VIBRACION QUE IMPERA ESTE AÑO PERSONAL: ESTUDIOS
En este año que ahora estás viviendo algunos se sienten solitarios, pero aprenden la diferencia entre estar solo y sentirse solo. Tendrás más tiempo para estudiar, reflexionar, tomar decisiones importantes en tu vida. En este Año muchos hijos se van de la casa, o hay períodos de alejamiento, pero son imprescindibles para poder recuperarnos espiritual y mentalmente de lo extenuante de los Años pasados.
También pueden ocurrir separaciones o divorcios o temporadas de distanciamiento si ver a los seres queridos o demoras en reunir la familia, aunque no obligatoriamente es así pues siempre hay que tomar en cuenta el Karma y las incidencias astrológicas personales, pero la tendencia y el potencial existen.
Es un año místico en que hay fuertes inclinaciones hacia lo oculto, espiritual, religioso. Según el temperamento de cada cuál las personas en el Año Personal Siete se inclinan a entrar en nuevas religiones, o explorar algo diferente dentro de su misma manera de pensar, o comenzar cursos de yoga, mediación, se interesan por la numerología, las cartas, el Tarot, los secretos de Egipto, los misterios teosóficos, es un Año para expandir la conciencia, para viajar no solo para pasear sino para aprender.
La tendencia de los viajes en un Año Personal Siete es más a sitios históricos y de Interés cultural más que a lugares turísticos de placer. Es el año filosófico que representa madurez en cada uno de nosotros y el desarrollo de los potenciales internos de nuestro Mundo Interior.
</t>
  </si>
  <si>
    <t xml:space="preserve">Año Personal: Ocho
Estás en el año del dinero y los logros materiales. Las oportunidades llueven si se han sabido aprovechar los Años personales pasados en los cuales estabas preparándote para estos años finales de tu ciclo. Se necesita motivación y buen juicio, pero en este Año la responsabilidad recae directamente sobre la persona que debe tomar decisiones correctas.
VIBRACION QUE IMPERA ESTE AÑO PERSONAL: ECONOMÍA
Ocurren muchas preocupaciones económicas por eso hay que hacer planes muy concretos al comenzar el Año para evitar desastres económicos.
Es un Año de recuperación, y también de bancarrotas o de consolidación de cuentas y deudas. También se arreglan los presupuestos, las cosas pueden haber marchado mal, pero en este Año empiezan a arreglarse y encuentras soluciones efectivas a tus problemas económicos. Por ese motivo debes cuidarte más, pues la salud puede afectarse por las preocupaciones materiales y hay que darle su prioridad.
Las preocupaciones por el dinero podrían tocar tus relaciones. Debes gastar para ganar y hacer inversiones imprescindibles. Es importante evitar el emocionalismo y las improvisaciones en los negocios porque no sería afortunado. El éxito dependerá de tus propios esfuerzos y habrá trabajo en abundancia para lograrlo. La mejor recompensa ocurrirá cuando estés haciendo algo para mejorar a toda la humanidad y no pensando únicamente en tus propias ganancias, cuando tu actividad es útil y ayudas a los demás.
Fíjate en tus años Ocho anteriores y verás como te ha ido económicamente ¿bien o mal? Según haya sido así serán las perspectivas de este año para ti.
</t>
  </si>
  <si>
    <t xml:space="preserve">Año Personal: Nueve
Concluye un ciclo y te preparas para comenzar el próximo en el año entrante. Este es el Año final de un período en el que se amarran todos los cabos sueltos que se han ido dejando de Años personales anteriores, se termina lo que no sirve, se aprende de los errores y experiencias. Ahora debes consolidar lo que has logrado, terminar lo que está pendiente y prepararte para empezar de manera fresca el próximo ciclo sin perder la maravillosa capacidad de la sorpresa ni tus energías naturales.
VIBRACION QUE IMPERA ESTE AÑO PERSONAL: ANÁLISIS
Si estás en tu Año Personal Nueve no es recomendable empezar nada nuevo, mudarse ni cambiar de residencia sino más bien llevar adelante lo que se ha planeado antes o terminar situaciones que ya no dan más. En el Año Nueve pueden ocurrir pérdidas de algún tipo. Pueden perderse negocios que no funcionan, amistades muy exigentes, pero también aprendes el valor de los buenos amigos y de un amor verdadero y se consolidan ambos. Intenta ser tolerante y perdonar.
Es un año vital para tomar conciencia y responsabilidad de nuestros propios aciertos y errores, y analizar que en la vida no hay fracasos sino solamente experiencias, unas positivas otras no. Muchos tienen relaciones maritales desastrosas o familias inexistentes, o su vida emocional es un fracaso y no han podido superarla, y este año te enseña a aprender de esas experiencias ajenas. Este Año nos enseña a ignorar aquello que nos causa daño y a mirar hacia arriba como personas superiores en la vida.
Tu ciclo se cumple, ahora estás más maduro y dispuesto a enfrentar tu nuevo período de nueve años con la experiencia adquirida. Aprendes la gran diferencia que existe entre decir "soy pobre" o "no soy pobre, lo que ocurre es que en estos momentos no tengo el dinero suficiente". Ese cambio interior de actitud, más optimista y favorable será la clave que te ayudará a dar el salto positivo al próximo ciclo y tu Año Personal Uno.
</t>
  </si>
  <si>
    <t xml:space="preserve">Año Personal: Once
Este es un año maestro. Debe vivir según sus más plenas aspiraciones Y exigencias; no aceptando nada ni a nadie que esté por debajo de tus más verdaderos deseos. Si no lo hace, el año adoptará la influencia de un dos (1 + 1 = 2), se verá atado todo el tiempo a detalles pequeños, desaprovechando esta vibración 11, que es tan importante para trascender verdaderamente.
VIBRACION QUE IMPERA ESTE AÑO PERSONAL: INSPIRACIÓN, PRUEBAS E ILUMINACIÓN
Es probable que en el tránsito de este año tenga sueños premonitorios, esté muy agudizada su intuición y tenga relámpagos de iluminación o estados visionarios o de percepciones extrasensoriales.
También habrá de tenerse presente que durante la vibración del 11, estará muy activado y expuesto el sistema nervioso y que puede pasar por distintas pruebas que alteren dicho sistema, debido a situaciones que deberá resolver en velocidad, razón por la cual es aconsejable hacer algún curso de meditación, yoga, metafísica o arte, ya que estará muy receptivo a todo ello y dichas actividades funcionarían relajando su cuerpo físico, emocional y mental, y lo ayudarían a desarrollar mayor comprensión del mundo espiritual.
Es importante durante esta vibración, rodearse de cultura, asistiendo a conciertos, exposiciones, funciones de teatro, presentaciones de libros o bien intentar practicar algún tipo de arte como la pintura, música, teatro, danza u otra.
El número 11 también está vinculado con la enseñanza y le permite al individuo ampliar su campo de conciencia y desarrollar sus facultades psíquicas, debido a que su mente estará sensibilizada y su espíritu abierto a una búsqueda mayor.
</t>
  </si>
  <si>
    <t xml:space="preserve">Año Personal: Veintidós
El año maestro 22 trae atractivo más allá de lo personal. El cielo deberá ser su límite. Viajar, emprender, ambicionar, ampliarse, expandirse; le son totalmente propicios en este período. Traerá oportunidad de mejorar lo suyo y lo de los demás. Aproveche toda la energía que un año 22 lleva, ya que de no hacerlo quedará encerrado en lo mismo de siempre debiendo duplicar esfuerzo y dedicación. Es decir, perderá su gran potencial y el 22 se convertirá en un cuatro.
VIBRACION QUE IMPERA ESTE AÑO PERSONAL: PROYECTOS, ASCENSOS Y CONCRECIONES.
Es probable que el individuo desarrolle grandes proyectos o planifique en gran escala, apuntando al éxito, el cual sin duda conseguirá.
Pero es importante tener en cuenta que este ciclo puede trabajar también a la inversa, si es que la persona, en lugar de construir, destruye, razón por la cual es aconsejable que se enfoque positivamente y planificando siempre en beneficio de muchos.
Esta vibración le permite trascender fronteras, lo cual puede hacerla viajar al exterior.
Tanto sea que la persona esté enfocada a empresas o trabajos de gobierno y relaciones exteriores, o dentro del campo espiritual o humanístico, el 22 impulsa a la trascendencia de una construcción de gran alcance.
También debe tenerse en cuenta que, como todo número maestro, puede retroceder al número de base, en este caso el 4, si es que la persona no aprovecha el inmenso potencial de la vibración, ello haría que se sintiese limitado en su trabajo, perdiéndose en excesivos detalles y análisis.
</t>
  </si>
  <si>
    <t>Digito de la edad</t>
  </si>
  <si>
    <t xml:space="preserve">Este año será un período de nuevos intereses propicio para un inicio en una nueva dirección, aquí se verán beneficiadas nuevas, ideas, nuevas ocupaciones.
</t>
  </si>
  <si>
    <t xml:space="preserve">Este número ubicado en el lugar de dígito de edad tiene una vibración que puede ser limitativa o inspiradora, depende de la elección personal. Normalmente induce al cambio de vivienda, negocio o sociedad.
</t>
  </si>
  <si>
    <t xml:space="preserve">Aquí la influencia determina un comienzo social (vincular, relacional) o artístico (creativo, laboral). 
La manera de determinar este curso será observando el año personal, es decir, si el año es 4 u 8, seguramente el cambio será en el orden laboral; si es 6, en lo vincular, Y así respectivamente. 
Este dígito advierte que durante este año deberemos evitar las confusiones emotivas.
</t>
  </si>
  <si>
    <t xml:space="preserve">Indica más bien un año de rutina que de acción, será propicio para poner los asuntos en orden. 
Puede suceder que sobrevengan cambios en lo comercial o doméstico, que no dependan de nuestra voluntad. Aparecerán situaciones nuevas en estos ámbitos que no hemos buscado.
</t>
  </si>
  <si>
    <t xml:space="preserve">Un dígito 5 señala cambios que pueden darse en todo orden de la vida, es decir, mudanza, cambio de trabajo, cambio interior, etc. El 5 es un número que hace sentir su tránsito. Será un año muy bueno para las ventas y también para los viajes cortos.
</t>
  </si>
  <si>
    <t xml:space="preserve">Modificaciones vinculares en el hogar, que a veces (ver la etapa y el año personal que rija) conduce a separación o divorcio. Este número aconseja pensar muy bien antes de tomar una determinación. También durante este dígito se tendrán muy en cuenta los asuntos hogareños.
</t>
  </si>
  <si>
    <t xml:space="preserve">Es un buen período para los estudios de ciencias ocultas y la meditación. Es un tiempo de replanteo e introspección. Será favorable vigilar la salud y las finanzas.
</t>
  </si>
  <si>
    <t xml:space="preserve">Durante la vigencia de este dígito se podrán cerrar con buena aspiración los tratos comerciales, es un buen tiempo para comprar o vender bienes. Se experimentarán demoras, y seguramente la segunda parte del año será mejor que la primera en lo que a lo financiero respecta.
</t>
  </si>
  <si>
    <t xml:space="preserve">Señala claramente el cierre de un período y el inicio inminente en una nueva dirección (ver la influencia dominante, es decir año personal, para determinar el curso de este cambio). 
Vigile la salud. Podrá ocurrir una posible pérdida.
</t>
  </si>
  <si>
    <t xml:space="preserve">Este será un ciclo de inspiración, de paz, y dará la posibilidad de proyectarse. Será bueno que viva según sus más plenas aspiraciones, sin resignar sus verdaderos deseos.
</t>
  </si>
  <si>
    <t xml:space="preserve">Es fácil entender que este número no aparecerá jamás como dígito de edad, ya que la suma de dos edades corridas durante el mismo año nunca podrá dar 22 como resultado
</t>
  </si>
  <si>
    <t>Primer Etapa de Vida</t>
  </si>
  <si>
    <t xml:space="preserve">Con este número queda instalada en el niño interno la sensación de soledad interior profunda que de adulto se sigue percibiendo por más que se esté acompañado. Trató de llamar la atención para buscar ser querido reconocido como él deseaba que lo quisieran. Se sintió muy solo, por lo que dentro de sí quedó esa sensación de soledad que no la puede llenar con nada. Dejó de ser él mismo, se alejó de su esencia para ser querido, llamando la atención, o buscando aprobación, quedando sola la persona en la búsqueda de reconocimiento afectivo a través de sus acciones, aunque siempre se las arregló muy bien solo/a, y tan sólo se quedó que aprendió a arreglárselas solo con todo. Sintió que no lo comprendían, no se sintió que valía por sí mismo, entonces hizo cosas para sentirse valorado por los demás. A veces es el caso del hijo del medio. Puede que le hayan exigido ser bueno en todo para que se destacara o se exigió a sí mismo. 
   Puede haber sentido que no tenía independencia, depender de los vínculos de los padres, no siendo dueño de sus propias ideas, iniciativas y decisiones que luego de mayor le costará tomar por sí sólo. Esta dependencia de los mayores puede haber generado a veces, no siempre, anulación de las capacidades y quedar dependiendo de los otros.
</t>
  </si>
  <si>
    <t xml:space="preserve">Ese hogar que fue tu mundo primario ni vos ni yo lo hubiéramos dibujado así, porque sentiste que fue un hogar desdibujado en donde lo roles de tus padres estaban alterados, un hogar con roles intercambiados, como el padre débil y una madre autoritaria o viceversa. No sentiste que tu padre cumpliera con el rol de papá y tu madre con el rol de mamá. Por lo que no hubo patrones vinculares claros, de modo que de adulto tiendes a relacionarte con personas que no tiene bien definido que hacen, que sienten, personas que se no  definen sentimentalmente. El niño interno sintió inseguridad al no estar los roles bien definidos de los padres. También se puede haber pasado por momentos en que sintió cierto sometimiento y dudó de todo al no sentirse seguro con los roles que los padres desempeñaban. Puede que la persona tome la decisión de casarse muy joven para salir de ese hogar desdibujado o vivir permanentemente en  la presencia de discusiones o ruptura de vínculos parentales. Igualmente fue una etapa de profunda hipersensibilidad. Otras veces puede carecer de afecto ya sea por faltarle los padres o por la incapacidad de estos por contener, cuidar y acariciar. También puede haber pasado el niño/a por escenas violentas ya sea que las presenciara o haber formado parte de ellas. Sentimiento que algo muy fuerte se rompió en lo afectivo, ya sea personas que se fueron o fallecieron.
</t>
  </si>
  <si>
    <t xml:space="preserve">En general una 1º etapa con el número 3, el niño/a sintió que no fue escuchado por sus padres o mayores, ya sea por dedicación amorosa (esto es lo mejor que hago para vos) o imposición, siempre lo obligaron hacer cosas que no le agradaban o no deseaba. Sintió que no fue acompañado en sus deseos ese niño/a, ya sea  si no te escucharon o te sobreprotegieron, tu deseo no fue tomado en cuenta lo que generó mucha dispersión en ti hasta de adulto. Fue una etapa de muchas cosas que se empezaron y no se terminaron. En cierta manera el niño/a quedó sin crecer emocionalmente. La persona creía que hacía lo que deseaba o quería, pero en realidad hizo lo que sus mayores querían, por lo que ese niño/a puede haber quedado con sensación de abandono o insatisfacción en la vida, o esperando que la escuchen, generando de adulto vínculos en que se sentirá igual que de niño/a. Tal vez puede haber costado que se integre socialmente y tendió a asilarse o se sintió fuera del círculo familiar por esta sensación de no era escuchada o tenida en cuenta. Puede que la persona desde niño/a haya despertado el gusto por alguna actividad artística.
</t>
  </si>
  <si>
    <t xml:space="preserve">Es el número de la dureza, de la estructura del cuadrado. La persona queda limitada o reprimida por ese cuadrado o estructura con falta de ternura. Sintió que vivió en un hogar estructurado, con muchos límites, rigor y falta de ternura, posiblemente por el padre. Lo que lo dejó con cierto encierro emocional e incluso sentirse bloqueada en los afectos que de adulto le cueste manifestar abiertamente. Lleva el mandato de no trasponer lo que le fue demarcado. Puede que el padre o ambos padres hayan sido demasiado prejuiciosos y dejaron en él una alerta de culpa que se enciende cada vez que quiera ir un poco más allá. Es como si sintiera en su espalda la mirada acusadora de aquellos que marcaron fuertemente su proceder afectando su sexualidad de adulto o la manera de relacionarse sexualmente. Puede haber sido un hogar forzado en lo material y emocional, en el cual el niño se vio forzado a trabajar tempranamente  o sino en lo emocional sintió que era un hogar tortuoso y aún de adulto le cuesta soltar esa historia de estos mandatos impuestos. Puede haber sentido que era mártir de la familia.
  Hogar riguroso generalmente de parte del padre, donde se lo limitó al niño poniendo pautas estructuradas, por lo que de adulto puede armar parejas que lo limiten en lo emocional o él se sienta limitado incluso en situaciones laborales. También puede darse el caso que tiende a dudar de adulto en la toma de decisiones especialmente en aquellas que tiene que ver con lo emocional. Este hogar deja limitado al niño/a para ser libre en muchos aspectos de su vida y en especial en el área sexual.
</t>
  </si>
  <si>
    <t xml:space="preserve">En esta etapa hubo mucho movimiento. Aquí los roles estuvieron desdibujados. Puede que la madre fuera más fuerte que el padre y tomara las riendas de todo, el padre quedó fuera de escena, alguien se corrió de su rol natural, o el padre o la madre no estuvieron. Pudo haber mucho movimiento de mudanzas, o de personas que entraban y salían pero dejaron una sensación de desarraigo y confusión como sintiendo el niño/a que no pertenecía a esa familia u hogar, hasta puede haber pensado que era adoptado/a. Puede haber pasado por circunstancias traumáticas que le perjudicaron en la construcción de una sexualidad  sana, abierta en la adultez. Pudo haber pasado por muchas mudanzas o cambios de escuelas. Entrada y salida de personas de la casa paterna. Movimiento interno y/o externo. La persona se sintió diferente Sensación de no estar bien consigo mismo/a. No encontró y no encuentra un lugar en el mundo, un lugar en donde se sienta bien. Quedó instalada una sensación de vacío. Pudo verse obligado a adaptarse a nuevas amistades o circunstancias, perdiendo gran parte de su círculo anterior. Actuó por impulsos, ansiosa, inestable, impaciente, nerviosa/o con curiosidad por el sexo. Pudo haber despertado temprano a la sexualidad, como también haber transitado algún tipo de adicción.
</t>
  </si>
  <si>
    <t xml:space="preserve">Parecía la familia ideal, sin embargo, te dejó muchos conflictos vinculares ya sea por sobreprotección o por ausencia de tus referentes mayores, los que sentiste intensamente. Fue un hogar que te retuvo emocionalmente en la infancia, te hizo dependiente, como si no hubieras podido cortar el cordón umbilical en tiempo y forma por más que cumplieras años, quedaste un niño malcriado, caprichoso acostumbrado a que te dieran de todo cuando vos abrías la boca tenías todo lo que pedías, dejándote sin poder crecer emocionalmente. El niño/a esperó todo de su padre y madre, generando dependencia de ellos. Generalmente el niño/a queda pegado a la madre, anulando las capacidades para valerse y responsabilizarse por si mismo/a. Sus progenitores le solucionaban todo, por lo que de adulto esperará que los demás le den de todo y le solucionen los problemas, especialmente esperará de su pareja lo mismo no haciéndose responsable por sus actos. Quedó como chupado o absorbido por las costumbres y estructuras de la familia, quedó esperando crecer, recibir siempre lo mismo que obtuvo de sus mayores. Si bien generó un fuerte lazo y la pasó bien, le será difícil de adulto poder separarse de su familia consciente o inconscientemente. También puede darse el que haya tenido que asumir responsabilidades y obligaciones entorno al hogar que no le correspondían asumir y quedó pegado a ese hogar.
</t>
  </si>
  <si>
    <t xml:space="preserve">El niño fue limitado en su libertad. Como si alguien hubiera sojuzgado la incipiente rebeldía del niño. A veces la madre reprime mucho en esta etapa y el padre no interviene protegiendo la autonomía del hijo. Podría cortar ese trato de restricciones que la madre dispensa, habilitando a la niña/o sacándola de la esfera de esas limitaciones frustrantes, pero no lo hizo. En la vida adulta esas limitaciones volverán y serán barrera para ser quien de verdad quiera ser.
  Puede que el niño/a haya sentido sensación de soledad, haya sido tímido/a o introvertida/o. Mucha rebeldía interna y/o externa que casi siempre fue sofocada por alguien como si le taparan la boca. Fue el rebelde sin causa de la familia. Intentó hacer pero no pudo, hablar pero fue callado. Sintió que no fue atendido en su rebeldía ni acompañado en sus atenciones de sus deseos. Quedó el miedo instalado al abandono, por lo que de adulto la persona se limita en sus relaciones por miedo al abandono o a que la limiten como de niña/o  En general fue una etapa de represión. ¿Quién sentiste que no te acompañó? ¿Tu padre o tu madre?
</t>
  </si>
  <si>
    <t xml:space="preserve">En la familia le faltó a la niña/o protección emocional, generalmente es del padre ya sea por abandono, porque  no estuvo o porque este fue muy  severo. Puede haber habido represión por parte de alguno de ellos. Fue una familia con muchas reglas, muy autoritaria, rígida, con estructura al estilo militar. En el aspecto material no faltó lo necesario, se tuvo lo que quería, pero se careció  protección y ternura en el aspecto emocional, el padre no pudo cumplir con la mínima asistencia emocional. Salvo pocas excepciones puede haber habido sobreprotección, lo que generó más daño todavía. Sintió el niño/a que no se lo valoraba como quería. Pudo haber tenido una relación problemática-conflictiva con el padre o quien lo sustituyera. Esta falta de paternidad en el caso de una mujer lleva a desconfiar de todo y en especial de los hombres, es como que quedó pegada a la historia con su padre. En el caso que el padre no existiera o hubiera desaparecido queda una sensación de abandono y también de desconfiar de los hombres ya que no se conoció al padre. También puede quedar una sensación de desarraigo. Le costará salir al mundo, como también poder relacionarse fluidamente con el otro. Aprendió a guardarse las broncas, los sentimientos o lo que tenía ganas de contestarle o decirle al padre por miedo a la reacción del padre. El padre es el símbolo del mundo y por lo general se tendrá conflicto al salir al mundo. Su tarea será dejar de guardarse cosas y exteriorizar sus sentimientos. Pudo haberse sentido anulada o disminuida por las actitudes despóticas de los padres o alguno de ellos o entorno más cercano.
</t>
  </si>
  <si>
    <t xml:space="preserve">El niño/a en esta etapa pasó por experiencias emocionales muy fuertes, donde pudo haber pérdidas emocionales, físicas, como muerte, separación de sus padres o alejamiento de algunos de los seres más significativos en la infancia. Pérdidas que dejaron una fuerte impronta de abandono en distintas áreas de la vida, que acompaña todavía de manera importante en las elecciones afectivas de adulto. Pudo haber pasado o por estados ciclotímicos o ser perturbado en su sistema nervioso. Pudo haber nacido y murió la madre, o ésta lo abandonó. También sin abandono físico sentir el niño/a que era abandonado. Todas estas pérdidas dejaron una huella profunda en la persona. Estas experiencias y sacudidas fuertes lo marcaron al niño/a y lo dejaron con miedo a dar porque si siente que da, se va a decepcionar. El niño/a sintió la soledad provocando decepción de la realidad. Se sintió abandonado no entendiendo las pérdidas. Esperó recibir y sintió que no le dieron a pesar de que le hayan dado cariño, el niño interno sintió que no recibió, se quedó esperando que le dieran y como sintió que no le daban se instaló la decepción en su vida, puede que de adulto en lo vincular sienta que si no encuentra placer no da y si da esperará que le den y se decepcionará. El niño se metió para dentro. No mostró lo que sentía por miedo a la desilusión y a que no lo aprobaran.
</t>
  </si>
  <si>
    <t xml:space="preserve">Este fue un hogar convulsionado, en el que se escuchaban a diario gritos, peleas y disputas, tal vez la niña o el niño se tapaba los oídos para no escuchar, no oír más y disminuir la presión de lo cotidiano teñido de peleas y discusiones. Una infancia que se desarrolló bajo tensiones, presiones o situaciones confusas. Incluso pudieron haberle sobre exigido mucho o él mismo se sobre exigió. Un ambiente que lo hizo crecer y madurar tempranamente o todo lo contrario quedarse en esa etapa sin crecimiento emocional, con miedo a crecer. No disfruto de la niñez o la tuvo que vivir a las apuradas, quemando etapas y alejó el placer de su alma, quedándose sin sentir el placer en la vida.  Ese niño/a vivió tensionado no permitiéndose disfrutar de sus juegos por estas tensiones. Los padres construyeron una familia desavenida. Las peleas en el hogar transformaron al niño en reprimido lo que logra que la persona crezca con furia interna y muchas veces no pueda demostrar sus afectos por la represión que causaron esas tensiones originando de adulto conflictos por esa tensión que quedó instalada en ella y le sea difícil ser demostrativo en sus afectos no pudiendo sacar afuera por esa represión, los afectos y demostrarlos trayendo conflictos con las pareja por su forma fría y reprimida en lo emocional. Si hay matrimonio en esta 1º etapa generalmente, no es determinante, lleva a la separación del vínculo porque esas tensiones se trasladan a la pareja. Un etapa 11 puede llevar a padecer cifosis por quedarse pegado a los conflictos de ésta y no soltarlos como algún tipo de problema en la columna vertebral debido a que queda la sensación de carga o mochila por tantos conflictos.
</t>
  </si>
  <si>
    <t xml:space="preserve">Es una etapa vivida  con muchas limitaciones tanto en lo material como en lo emocional, con muchas dificultades, el niño/a se sintió sumamente encerrado como en una estructura difícil de salir. Los padres fueron demasiados prejuiciosos y muy autoritarios y estructurados en su manera de vivir, pasándole estas limitaciones al niño/a Quedó la persona encerrada, sin poder romper las barreras que le impusieron de niño. Quedó atrapado en ese encierro, hasta el punto de serle difícil salir de adulto a otro lugar para vivir es como que tenderá a quedarse en el lugar paterno donde nació, quedó como acomodado a la familia de origen, no sólo encerrado en la casa paterna sino con encierro interno. El bloqueo es tan grande que no podrá fácilmente salir de su casa para formar otra familia o la formará y seguirá en su casa en donde nació o con vagas sensaciones de permanecer en ese lugar por más que ya no viva en él. (La única posibilidad que existe que una persona tenga una etapa 22 es con el día 11 de noviembre).
</t>
  </si>
  <si>
    <t>Segunda Etapa de Vida</t>
  </si>
  <si>
    <t xml:space="preserve">Bien transitada da posibilidad de ser líder en lo que haga, ya que tiene capacidad ejecutiva y tendrá oportunidad de ser individualista en cuanto al pensamiento, la autoridad  y a la acción. Obliga este tiempo a poner los pies sobre la tierra y a confiar en su talento para triunfar y no en los demás. Es un tiempo activo y lleno de posibilidades de cambio si decide aprovecharlo en toda su magnitud. Generalmente en esta ubicación la persona solo cuenta consigo misma para alcanzar el éxito También puede indicar que la persona enfoca su vida de manera diferente a partir de nuevas pautas, dejando atrás el pasado. Puede que trabaje en forma independiente alcanzando sus logros y sintiéndose llena de vida., pero si la transita de manera negativa  puede costarle independizarse y accionar por si misma. Se debe evitar siempre con una etapa 1 no ser demasiado dominante sobre los demás y aplicar la tolerancia y no ser obstinado para que la etapa se transite positivamente, sino encontrará problemas y conflictos con el entorno en donde se desarrolle la persona.
</t>
  </si>
  <si>
    <t xml:space="preserve">Es un tiempo de cooperación, dominio de su campo emocional, tacto y diplomacia, otorga inclinación para concretar sociedades de todo tipo, ya que su influencia predispone  que se trabaje mejor en compañía que sólo, e incluso transitará mejor si está afectivamente unido a alguien; en soledad, estará a prueba su paciencia, ya que la prisa puede provocar pérdida durante esta etapa. Cuidar de no volverse hipersensible en esta etapa, no referirlo todo a sí mismo, o sea no ser egoísta, ya que la etapa actuaría en contra suyo. Etapa buena para dedicar el trabajo a los pormenores o poner en orden cosas menores. Tener en cuenta que estará favorecida la persona tanto para asociaciones de pareja o para trabajar en equipos de trabajo o poner una empresa o negocio en sociedad. Usar en negativo esta etapa sería tener dificultad para asociarse o relacionarse afectivamente en forma desarmónica. No es un período para ser independiente y sólo pensar en uno mismo, tenga en cuenta al otro. Favorece todo tipo de vínculos si se actúa con diplomacia, tacto, y si es mediador, sensible. Armonía y paciencia requiere. Sea cuidadoso de no revelar sus sentimientos a cualquiera. Como 4º etapa la persona podrá vivir un tiempo de descanso, paz y serenidad, si la transita en negativo corre el riesgo de ser perturbada por sus emociones y tener necesidad de compañía o tener conflictos en la pareja o sociedades.
</t>
  </si>
  <si>
    <t xml:space="preserve">Mayor capacidad para el despliegue creativo y/o artístico, un amplio desarrollo de la imaginación y de la actividad social que promete éxitos en el campo que elija. Es propicio para escribir o disertar en público sobre temas a su elección o según en el área en que actúe. Excelente para que pueda desarrollar plenamente la capacidad creativa en el arte, ya sea teatro, escribir, disertar, cantar, bailar, diseñar, decorar. Excelente tiempo para traer dinero con menor dificultad. Es conveniente no abrir demasiado el abanico de posibilidades y concentrar su dedicación en un rumbo cierto. No es una etapa ni física ni mental. Si la transita al revés de lo que pide el número 3 puede sufrir en sus aspectos personales. La imaginación y sentimiento de la persona está en la cima.  Tener en cuenta que las emociones pueden intervenir de manera negativa por lo que se deberán controlar y así evitar que la etapa sea negativa. El inconsciente se empieza a mover ya sea a través de sueños o de inquietudes profundas a preguntarse cosas o cuestionar cosas que antes nunca se había cuestionado.
</t>
  </si>
  <si>
    <t xml:space="preserve">Existe la posibilidad de echar buenas bases para el futuro. Se exige trabajo arduo y constante, es un tiempo que demanda servicio, siendo práctico. Es un período excelente para ahorrar, acumular reservas financieras para necesidades futuras. Este número requiere mantenimiento del orden y de progreso, una clara visión de los objetivos, aportando dedicación y constancia en la obtención de los mismos. La familia puede ser de gran responsabilidad al amparo de este número. Es una etapa bienvenida, pues le dará oportunidad concreta de poner en práctica sus ideas. Dominio del trabajo en detalle, capacidad de análisis, organización y planificación. Es una buena etapa para poner orden en los asuntos  internos y externos. 
</t>
  </si>
  <si>
    <t xml:space="preserve">Es una etapa plena de libertad en el que deberá desechar lo viejo y dar paso a lo nuevo, aceptando de buena ganas los cambios que no siempre serán bienvenidos por la persona sino transitó su vida hasta el momento como debía.. Puede experimentar inquietud e incertidumbre en varios momentos. No es un tiempo para quedarse en casa a descansar ni mirar la vida desde una ventana. Este 5 exige versatilidad, actividad, vida pública, desapego, y entonces se convertirá en tiempo de avance y progreso. Suele suceder que al llegar a una etapa 5 le obliga a la persona a hacer cambios profundos en su vida, alterando todo el orden preestablecido. Puede inducir a cualquier tipo de adicciones si la persona estaba haciendo en contra de lo que la vida le pedía. Si se aceptan los cambios la etapa volverá a darle estabilidad emocional y material. Puede el dinero fluctuar entre la abundancia y la escasez. Puede verse obligado a adaptarse a nuevos amigos, perdiendo gran parte de su círculo anterior. Dejar de tratar de no actuar por impulsos ya que estos en una etapa 5 traen consecuencias no gratas. Recuérdese que si la persona no estaba viviendo como se lo pide su vida, una etapa 5 llega como un viento huracanado llevándose todo lo que encuentra mal parado y no deja a la persona igual que hasta ese momento, le obliga a cambiar o cambiar. Excelente tiempo para hacer viajes cortos y largos. Vivir sin estructuras, darse libertad para vivir sin condicionamientos externos ni internos. Adaptarse con flexibilidad a las distintas situaciones y personas que la vida le vaya presentando. Buen momento para transmutar, cambiar, vender, mudarse o viajar.
</t>
  </si>
  <si>
    <t xml:space="preserve">Mayores responsabilidades en todos los asuntos referidos al hogar, a la familia, trabajo y a la comunidad. En negativo la persona puede rehusar a hacerse cargo de las responsabilidades y conflictos familiares, actuando de forma intolerante. Es una oportunidad de ser útil, cultivar el amor, armar una familia,  y brindarse con buena voluntad a los demás. Es tiempo de crecimiento emocional, darse ternura así mismo, aceptarse, comprenderse, amarse. Puede también requerir servicio a la comunidad, la felicidad derivará de ayudar a los demás. Encontrará amor y protección a través de la familia si elige ese camino. Una etapa 6 es propicia para casarse y podrá augurar felicidad a la unión. En la 4º etapa puede otorgar recompensa a los esfuerzos que se hayan realizado en la vida, dando estabilidad financiera y también felicidad si ha transitado la vida de manera como se lo pide ésta. La persona tendrá una vibración amatoria especial con su entorno, mayor afecto la rodeará y disfrutará de los esfuerzos logrados anteriores  y del confort.
</t>
  </si>
  <si>
    <t xml:space="preserve">Esta etapa pide interesarse por asuntos en el campo científico o educativo especializarse en algo según la actividad o profesión de la persona. Igualmente la persona siente la necesidad de hacer cursos, cosas que le den conocimientos. Puede que trabaje en la investigación de algo, tratando de desarrollar su campo espiritual y estar más en contacto consigo mismo y la naturaleza. Buen tiempo para estudiar disciplinas alternativas u ocultas de la vida. Buen tiempo para la reflexión e introspección. Será beneficioso el progreso espiritual y no tanto el triunfo material Puede que esté más introspectiva, que haga cambios interiores, que se plantee y se replantee lo vivido hasta el momento. Si no se transita como lo pide el 7 puede volverse malhumorado, aislado, reprimido, lo que causará problemas con su entorno familiar y relacional. Puede también faltar dinero, pero si se estudia, reperfecciona, busca en su interior, se eleva, entonces desarrolla buena comprensión del significado de la vida, este conocimiento y habilidad le traerán el triunfo. Aquí deberá cultivar la paciencia y la comprensión. Ojo con aislarse ya que lo negativo de un 7 transitándolo en contra de lo que pide puede llevar a la persona a estados de melancolía, soledad, o retiro. También puede ser que si se llega a una crisis en una etapa 7, la vida lo obligue a buscar la verdad de su vida, perfección y búsqueda espiritual para evolucionar a otros estados de conciencia.
</t>
  </si>
  <si>
    <t xml:space="preserve">Tiempo excelente en lo financiero o lo vinculado con temas de la justicia, según como se haya vivido hasta el momento. Podrá obtener un lugar de privilegio, con mando y autoridad. Tiempo que se le pedirá y ofrecerá la oportunidad de ser dueño de su propio negocio, emprendimiento, tendrá que adquirir fuerza, valor, poner ambición y esfuerzo constante si quiere obtener grandes logros. Es una etapa para salir al mundo o sea poner el adentro en el afuera, sacar lo emocional y ponerlo en lo cotidiano, en todas las relaciones. Es una etapa que no tolera la pereza ni la falta de ambición. Tendrá que analizar bien a las personas antes de confiar en ellas, pues será proclive a errores en este sentido. Sino la transita de manera como lo pide el 8 tendrá dificultades para alcanzar sus objetivos materiales y poder tener influencia sobre los otros. Esta etapa da la posibilidad de encontrar su interior, ponerlo afuera, equilibrar su vida entre lo que desea, le gusta y lo que hace. El 8 empuja, presiona para cambiar desde adentro. Si se vive como pide el 8 se podrá hacer buen dinero dominando el poder en lo material.
</t>
  </si>
  <si>
    <t xml:space="preserve">Es una etapa de realización en el campo espiritual, por eso es que pide transitar la etapa despojado de toda ambición afectiva o material, por lo que la persona no tendrá que pretender ni amores ni bienes personales sino apuntar únicamente a ayudar a los demás a que logren su propia felicidad y contentarse con esto. Su apelación es a los otros, y así tendrá oportunidad y regocijo en encontrar felicidad en el  dar, sin esperar ni siquiera el agradecimiento. Es un tiempo de prueba en la entrega ya que se espera mucha compasión, tolerancia y dedicación. Si se es resentido y egoísta, entonces será un tiempo de desdicha. En 2º y 3º etapa se recogerán experiencias emotivas fuertes. Es una etapa de las más rigurosas la de un 9 en cuanto exige que se viva según el mandato del número. Cuando llega a la vida de alguien y se vive según lo que se pide, entonces colma de bendiciones a quien lo transita. Puede que llegue a trascender al público en general. Buena etapa para desarrollar toda la gama de inquietudes artísticas que se posean. Buena etapa para dedicarse al servicio humanitario o simplemente dar. Tendrá dominio de sus ideales y espíritu por alcanzarlos.
</t>
  </si>
  <si>
    <t xml:space="preserve">Es tiempo de sacarse las mochilas, de soltar de perdonarse y perdonar para vivir de acuerdo a lo que pide el 11 y entonces le dará oportunidad de ser notable y aparecer en público. Es tiempo de expansión espiritual. Si no se apunta lo suficientemente alto elevándose por encima del promedio común de las personas dejando de lado las ataduras vulgares de ésta. Una etapa 11 generalmente trae separación en la pareja, (recuérdese que nada es determinante), se podría vivir bajo mucha tensión nerviosa, salvo que uno de los cónyuges tenga un 6 en su destino o en su sendero natal, le será casi imposible romper el vínculo. Además puede inducirlo a revelar capacidades inventivas, artísticas o tendencias espirituales o religiosas. Y de esta manera teniendo muchas ocasiones para sobresalir  de formas no convencionales. Podrá ejercer algún tipo de liderazgo, ejerciendo la facultad de la palabra y teniendo ideas visionarias. Años de iluminación  e inspiración. Cuidarse de no irse a los extremos y ser tildado por esto de delirante  y de ideas raras. Buen dominio de la intuición y es aconsejable seguir sus corazonadas.
</t>
  </si>
  <si>
    <t xml:space="preserve">Tiempo excelente en lo material y el idealismo se combinan. Abarca varios campos y puede sobrevenir grandeza material. Podrá interesarse por asuntos que trasciendan fronteras. Se debe pensar a lo grande, y en beneficio de muchos, sin miedo a los límites. Son pocas las personas que pasan por una etapa 22 ya que pocos pueden evolucionar para satisfacer estas altas exigencias. Si se pasa por una etapa 22 no podrá ser negativa ya que la persona tendrá la suficiente evolución para transitarla en positivo beneficiando a la humanidad. Se harán proyectos a gran escala con capacidad de organización, es raro que las personas se pierdan en el egoísmo personal y utilicen todo este potencial en su propio provecho. En 4º lugar da una posición demasiado destacada en el mundo construyendo para los demás sin egoísmo ni avaricia que sería lo contrario de  un 22 pero en negativo.
</t>
  </si>
  <si>
    <t>Tercera Etapa de Vida</t>
  </si>
  <si>
    <t xml:space="preserve">En 3º y 4º etapa este número revisa como se ha vivido hasta ahora, es un recolector y si se ha vivido de manera contraria a lo que se ha venido a hacer, se lleva todo, amores, bienes materiales, a través de pérdidas, alejamientos, separaciones etc. Es una etapa de realización en el campo espiritual, por eso es que pide transitar la etapa despojado de toda ambición afectiva o material, por lo que la persona no tendrá que pretender ni amores ni bienes personales sino apuntar únicamente a ayudar a los demás a que logren su propia felicidad y contentarse con esto. Su apelación es a los otros, y así tendrá oportunidad y regocijo en encontrar felicidad en el  dar, sin esperar ni siquiera el agradecimiento. Es un tiempo de prueba en la entrega ya que se espera mucha compasión, tolerancia y dedicación. Si se es resentido y egoísta, entonces será un tiempo de desdicha. En 2º y 3º etapa se recogerán experiencias emotivas fuertes. Es una etapa de las más rigurosas la de un 9 en cuanto exige que se viva según el mandato del número. Cuando llega a la vida de alguien y se vive según lo que se pide, entonces colma de bendiciones a quien lo transita. Puede que llegue a trascender al público en general. Buena etapa para desarrollar toda la gama de inquietudes artísticas que se posean. Buena etapa para dedicarse al servicio humanitario o simplemente dar. Tendrá dominio de sus ideales y espíritu por alcanzarlos.
</t>
  </si>
  <si>
    <t>Cuarta Etapa de Vida</t>
  </si>
  <si>
    <t xml:space="preserve">Bien transitada da posibilidad de ser líder en lo que haga, ya que tiene capacidad ejecutiva y tendrá oportunidad de ser individualista en cuanto al pensamiento, la autoridad  y a la acción. Obliga este tiempo a poner los pies sobre la tierra y a confiar en su talento para triunfar y no en los demás. Es un tiempo activo y lleno de posibilidades de cambio si decide aprovecharlo en toda su magnitud. Generalmente en esta ubicación la persona solo cuenta consigo misma para alcanzar el éxito También puede indicar que la persona enfoca su vida de manera diferente a partir de nuevas pautas, dejando atrás el pasado. Puede que trabaje en forma independiente alcanzando sus logros y sintiéndose llena de vida., pero si la transita de manera negativa  puede costarle independizarse y accionar por si misma. Se debe evitar siempre con una etapa 1 no ser demasiado dominante sobre los demás y aplicar la tolerancia y no ser obstinado para que la etapa se transite positivamente, sino encontrará problemas y conflictos con el entorno en donde se desarrolle la persona.
   En 4ª lugar dará la oportunidad de realizar una labor destacada, con muchos cambios en donde ejercerá independencia y autoridad hasta el final de sus días ya sea en tareas importantes o tener bajo su dirección a otras personas Es siempre una etapa de mucha acción.
</t>
  </si>
  <si>
    <t xml:space="preserve">Mayor capacidad para el despliegue creativo y/o artístico, un amplio desarrollo de la imaginación y de la actividad social que promete éxitos en el campo que elija. Es propicio para escribir o disertar en público sobre temas a su elección o según en el área en que actúe. Excelente para que pueda desarrollar plenamente la capacidad creativa en el arte, ya sea teatro, escribir, disertar, cantar, bailar, diseñar, decorar. Excelente tiempo para traer dinero con menor dificultad. Es conveniente no abrir demasiado el abanico de posibilidades y concentrar su dedicación en un rumbo cierto. No es una etapa ni física ni mental. Si la transita al revés de lo que pide el número 3 puede sufrir en sus aspectos personales. La imaginación y sentimiento de la persona está en la cima.  Tener en cuenta que las emociones pueden intervenir de manera negativa por lo que se deberán controlar y así evitar que la etapa sea negativa. El inconsciente se empieza a mover ya sea a través de sueños o de inquietudes profundas a preguntarse cosas o cuestionar cosas que antes nunca se había cuestionado.
   Como 4º etapa, el 3 tenderá a dispersar en demasía las energías y talentos así que se deberá tener esto presente. Puede que no se integre bien socialmente y sentirse aislada la persona. Se disfrutará mejor de la vida social, los intercambios los viajes largos o cortos se verán incrementados y todo lo que tenga que ver con la autoexpresión.
</t>
  </si>
  <si>
    <t xml:space="preserve">Existe la posibilidad de echar buenas bases para el futuro. Se exige trabajo arduo y constante, es un tiempo que demanda servicio, siendo práctico. Es un período excelente para ahorrar, acumular reservas financieras para necesidades futuras. Este número requiere mantenimiento del orden y de progreso, una clara visión de los objetivos, aportando dedicación y constancia en la obtención de los mismos. La familia puede ser de gran responsabilidad al amparo de este número. Es una etapa bienvenida, pues le dará oportunidad concreta de poner en práctica sus ideas. Dominio del trabajo en detalle, capacidad de análisis, organización y planificación. Es una buena etapa para poner orden en los asuntos  internos y externos. 
Como 4º etapa el 4 mostrará una persona práctica, rutinaria y mantendrá los conceptos básicos con que armó su vida.
</t>
  </si>
  <si>
    <t xml:space="preserve">Es una etapa plena de libertad en el que deberá desechar lo viejo y dar paso a lo nuevo, aceptando de buena ganas los cambios que no siempre serán bienvenidos por la persona sino transitó su vida hasta el momento como debía.. Puede experimentar inquietud e incertidumbre en varios momentos. No es un tiempo para quedarse en casa a descansar ni mirar la vida desde una ventana. Este 5 exige versatilidad, actividad, vida pública, desapego, y entonces se convertirá en tiempo de avance y progreso. Suele suceder que al llegar a una etapa 5 le obliga a la persona a hacer cambios profundos en su vida, alterando todo el orden preestablecido. Puede inducir a cualquier tipo de adicciones si la persona estaba haciendo en contra de lo que la vida le pedía. Si se aceptan los cambios la etapa volverá a darle estabilidad emocional y material. Puede el dinero fluctuar entre la abundancia y la escasez. Puede verse obligado a adaptarse a nuevos amigos, perdiendo gran parte de su círculo anterior. Dejar de tratar de no actuar por impulsos ya que estos en una etapa 5 traen consecuencias no gratas. Recuérdese que si la persona no estaba viviendo como se lo pide su vida, una etapa 5 llega como un viento huracanado llevándose todo lo que encuentra mal parado y no deja a la persona igual que hasta ese momento, le obliga a cambiar o cambiar. Excelente tiempo para hacer viajes cortos y largos. Vivir sin estructuras, darse libertad para vivir sin condicionamientos externos ni internos. Adaptarse con flexibilidad a las distintas situaciones y personas que la vida le vaya presentando. Buen momento para transmutar, cambiar, vender, mudarse o viajar.
   En 4º lugar, la persona desplegará absoluta libertad en todo lo que haga, teniendo facilidad de viajar y la oportunidad de una vida pública y muchas vivencias, activamente con innovaciones, si lo hace en contra de todo lo que pide el 5 se sentirá confusa, extenuada o sin ganas de accionar, reprimiéndose los deseos de libertad.
</t>
  </si>
  <si>
    <t xml:space="preserve">Esta etapa pide interesarse por asuntos en el campo científico o educativo especializarse en algo según la actividad o profesión de la persona. Igualmente la persona siente la necesidad de hacer cursos, cosas que le den conocimientos. Puede que trabaje en la investigación de algo, tratando de desarrollar su campo espiritual y estar más en contacto consigo mismo y la naturaleza. Buen tiempo para estudiar disciplinas alternativas u ocultas de la vida. Buen tiempo para la reflexión e introspección. Será beneficioso el progreso espiritual y no tanto el triunfo material Puede que esté más introspectiva, que haga cambios interiores, que se plantee y se replantee lo vivido hasta el momento. Si no se transita como lo pide el 7 puede volverse malhumorado, aislado, reprimido, lo que causará problemas con su entorno familiar y relacional. Puede también faltar dinero, pero si se estudia, reperfecciona, busca en su interior, se eleva, entonces desarrolla buena comprensión del significado de la vida, este conocimiento y habilidad le traerán el triunfo. Aquí deberá cultivar la paciencia y la comprensión. Ojo con aislarse ya que lo negativo de un 7 transitándolo en contra de lo que pide puede llevar a la persona a estados de melancolía, soledad, o retiro. También puede ser que si se llega a una crisis en una etapa 7, la vida lo obligue a buscar la verdad de su vida, perfección y búsqueda espiritual para evolucionar a otros estados de conciencia.
   En 4º lugar el 7 lleva a la persona a dedicarse a búsquedas espirituales, esotéricas o científicas en un clima de armonía y serenidad, si la persona se resiste a estos cambios puede devenir mucha tristeza, soledad, depresión y terminar sus días en algún lugar recluido en contra de su voluntad y con mucha austeridad.
</t>
  </si>
  <si>
    <t xml:space="preserve">Tiempo excelente en lo financiero o lo vinculado con temas de la justicia, según como se haya vivido hasta el momento. Podrá obtener un lugar de privilegio, con mando y autoridad. Tiempo que se le pedirá y ofrecerá la oportunidad de ser dueño de su propio negocio, emprendimiento, tendrá que adquirir fuerza, valor, poner ambición y esfuerzo constante si quiere obtener grandes logros. Es una etapa para salir al mundo o sea poner el adentro en el afuera, sacar lo emocional y ponerlo en lo cotidiano, en todas las relaciones. Es una etapa que no tolera la pereza ni la falta de ambición. Tendrá que analizar bien a las personas antes de confiar en ellas, pues será proclive a errores en este sentido. Sino la transita de manera como lo pide el 8 tendrá dificultades para alcanzar sus objetivos materiales y poder tener influencia sobre los otros. Esta etapa da la posibilidad de encontrar su interior, ponerlo afuera, equilibrar su vida entre lo que desea, le gusta y lo que hace. El 8 empuja, presiona para cambiar desde adentro. Si se vive como pide el 8 se podrá hacer buen dinero dominando el poder en lo material.
   En 4º lugar el 8 lleva a la persona a conservar y disfrutar todo lo que ha adquirido en su vida, si la transita en negativo, resistiéndose a los cambios que pide el 8 puede costarle alcanzar cualquier objetivo y tener dificultades financieras.
</t>
  </si>
  <si>
    <t xml:space="preserve">En 3º y 4º etapa este número revisa como se ha vivido hasta ahora, es un recolector y si se ha vivido de manera contraria a lo que se ha venido a hacer, se lleva todo, amores, bienes materiales, a través de pérdidas, alejamientos, separaciones etc. Es una etapa de realización en el campo espiritual, por eso es que pide transitar la etapa despojado de toda ambición afectiva o material, por lo que la persona no tendrá que pretender ni amores ni bienes personales sino apuntar únicamente a ayudar a los demás a que logren su propia felicidad y contentarse con esto. Su apelación es a los otros, y así tendrá oportunidad y regocijo en encontrar felicidad en el  dar, sin esperar ni siquiera el agradecimiento. Es un tiempo de prueba en la entrega ya que se espera mucha compasión, tolerancia y dedicación. Si se es resentido y egoísta, entonces será un tiempo de desdicha. 
En 4º lugar pone a la persona en un lugar destacado, la de un ser que es escuchado por los demás, debido a sus ideales y manera de ser solidario, compasivo y generoso, porque ayuda a los demás desinteresadamente. El 9 pide ir en busca de lo propio sin esperar apoyo ni ayuda de nadie, sin decepcionarse por qué no recibe nada, ni pasar factura por lo que no le devolvieron o no viven los demás como el desearía que vivan. Indica en 4º lugar de la etapa que la persona se dedicará a ayudar a los demás desplegando una actitud de servicio a la comunidad, si se vive en negativo puede confundirse en sus ideales y trastocarlos en experiencias contradictorias y fanáticas.
</t>
  </si>
  <si>
    <t xml:space="preserve">Es tiempo de sacarse las mochilas, de soltar de perdonarse y perdonar para vivir de acuerdo a lo que pide el 11 y entonces le dará oportunidad de ser notable y aparecer en público. Es tiempo de expansión espiritual. Si no se apunta lo suficientemente alto elevándose por encima del promedio común de las personas dejando de lado las ataduras vulgares de ésta. Una etapa 11 generalmente trae separación en la pareja, (recuérdese que nada es determinante), se podría vivir bajo mucha tensión nerviosa, salvo que uno de los cónyuges tenga un 6 en su destino o en su sendero natal, le será casi imposible romper el vínculo. Además puede inducirlo a revelar capacidades inventivas, artísticas o tendencias espirituales o religiosas. Y de esta manera teniendo muchas ocasiones para sobresalir  de formas no convencionales. Podrá ejercer algún tipo de liderazgo, ejerciendo la facultad de la palabra y teniendo ideas visionarias. Años de iluminación  e inspiración. Cuidarse de no irse a los extremos y ser tildado por esto de delirante  y de ideas raras. Buen dominio de la intuición y es aconsejable seguir sus corazonadas.
En 4º lugar  se verá a una persona que alcanzó reconocimiento, iluminación y prestigio, sueños premonitorios e intuiciones. Pero en negativo, demasiada tensión nerviosa,  peligros que genera conflictos en pareja y se puede perder en comportamientos enmarañados e incomprensibles.
</t>
  </si>
  <si>
    <t xml:space="preserve">Enero </t>
  </si>
  <si>
    <t xml:space="preserve">Mes personal número  1 “Mes de nuevos comienzos”….
Energía para tomar iniciativa, debes estar alerta se presentan inicios en diferentes áreas de tu vida, no los dejes pasar.
Sentirás una gran necesidad de  independencia y buscaras provocar cambios en tu actividad, trabajo, relaciones, aficiones, etc.
Prepárate  porque este es el mes donde lo que estaba detenido se mueve y sucede lo inesperado.
Resérvalo para dar inicio a cualquier cosa que quieras que perdure y se solidifique durante el año, relaciones, sociedades, actividades, etc.
Claves del mes 1: 
•Período lleno de actividad, proyectos, retos, grandes ambiciones, decisiones y oportunidades, aprovecha cada una de ellas.
•Mes para renovarse y hacer cambios trascendentales.
•Tiempo de sacudirse todo lo negativo y atreverse a lo novedoso, sigue tus impulsos, arriésgate.
•Gran posibilidad de encuentros que cambiaran tu vida, sentimental o profesionalmente.
•Posibilidad de inicio de un nuevo empleo, carrera, situación sentimental o actividad diferente.
</t>
  </si>
  <si>
    <t xml:space="preserve">Mes personal número 2: “Mes para recibir”….
Nos trae una energía para consolidar relaciones, fortalecer lazos, trabajar en equipo  y recibir la cooperación de alguien más para mover nuestros proyectos. Es tiempo de demostrar nuestra solidaridad a los otros…
Este mes recibirás apoyo, respaldo y dirección de los demás con tan solo pedirlo.
Utiliza esta energía para atraer cosas a tu vida, ya que es sumamente beneficiosa para conseguir cosas sin grandes esfuerzos.
Claves del mes 2: 
•Este mes son auspiciosos los compromisos grupales, el trabajo en sociedad y todo lo que representa reunir un equipo que trabaje para un bien común.
•Buen año para las cosas relacionadas con la salud: operaciones, chequeos, tratamientos, etc.
•Tiempo  para recibir, mejoras económicas, regalos inesperados, promociones, beneficios monetarios y/o en especie.
•Período marcado por la aparición de personas que vienen a colaborar con tu crecimiento o evolución (Socios, compañeros de equipo, maestros, pareja, familia).
</t>
  </si>
  <si>
    <t xml:space="preserve">Mes personal número 3: “Mes para poder expresarnos”…
Este será uno de los meses más placenteros del año para ti, te da la oportunidad de retomar las cosas que has dejado de lado, podrás hacer lo que más te gusta, motiva o interesa.
Úsalo para comunicar, expresar y decir tu opinión a los demás, encontraras la fuerza para hablar de lo que tienes guardado.   Este mes mueves una energía de intercambio y gran magnetismo personal, tu popularidad aumenta así que  utilízala para hacer negociaciones, ventas, relaciones y conexiones que te impulsen a lograr  metas.
Ahora tú eres el primero en tu lista.
Claves del mes 3: 
•Mes de viajes y el desarrollo personal, año muy social con actividades prolíficas.
•Este es un mes para trabajar mucho con la intuición y la inspiración… “momento de crear”…
•Tiempo en el cual tu magnetismo esta al máximo, hazte un cambio de imagen, renuévate.
•Mes para recibir herencias, donaciones, regalos  etc.
</t>
  </si>
  <si>
    <t xml:space="preserve">Mes personal número 4: “Mes para ponernos en acción”…
Este mes trae una gran necesidad por estar activos, por ponernos en movimiento,   y es porque el mes 4 está hecho para  para organizarnos, construir y finalmente activar todo lo que hasta hoy han sido solo ideas, propósitos, deseos,  proyectos, etc.
Este mes habrá energía de sobra, así que enfócala y termina todo lo que tengas en proceso… Tiempo para cuidarnos físicamente,  hacer cambio de hábitos  y tomar las cosas en serio…
Momento de grandes esfuerzos, enfocarse en el trabajo diario, debes ser tenaz y firme..
Claves del mes 4: 
•Mes de gran actividad y movimiento, es el momento de ponerte en acción y obtener resultados.
•Tiempo de avanzar y cerrar ciclos  en el área profesional o en relación a las actividades que realizas.
•Especial para poner en acción tus ideas y proyectos, ¡Hazlo!.. O sentirás que desperdiciaste este mes.
•Este mes te invita a salir de la monotonía, construyendo tu propio castillo.
</t>
  </si>
  <si>
    <t xml:space="preserve">Mes personal número 5: “Mes  motor del año”…
Prepárate ya que este mes te sentirás aventurero, con ganas de tomar riesgos, de liberarte, de buscar cambiar tus rutinas o simplemente de divertirte y salir de lo común… se dan sucesos improvistos, se presenta lo  inesperado, grandes e intensos encuentros con personas nuevas que llegan a tu vida y marcan un  progreso en emociones y/o sociabilidad… Este mes es tiempo para hacer  cambios de imagen, viajes, ventas, contactos sociales, y divertirte. …
Momento  de gran atracción personal sobre todo con el sexo opuesto.
Claves del mes 5: 
•Mes de gran magnetismo y éxito social,  tu poder de atracción se hace presente.
•Tiempo excelente para las negociaciones, ideal para las ventas o actividades comerciales.
•Período de cambios trascendentales en tu vida, casa, país, pareja, trabajo, ideología, actividad, etc.
•Lo inesperado toca a tu puerta, déjalo entrar, te sorprenderá.
</t>
  </si>
  <si>
    <t xml:space="preserve">Mes personal número 6: “Mes para trabajar emociones”…
Los encuentros, actividades y asuntos relacionados con familia, amigos o personas que se encuentren en tu círculo más cercano estarán presentes…
Usa esta energía para servir, ayudar, dar afecto, cariño y amor a tus seres queridos….
En este mes se viven lecciones de apego y desapego así que pon especial atención a tus cariños (familia, amigos, trabajo, dinero, etc.).
Tu lección del mes será en las áreas de tu vida que más valoras, aprecias o amas…
Momento de gran sensibilidad emocional y necesidad de afecto.
En este tiempo seguramente las responsabilidades familiares aumentaran y te verás forzado a permanecer más en casa  atendiendo a tu familia o asuntos familiares más de lo usual.
Claves del mes 6: 
•Período en el que tus relaciones emocionales son más significativas para ti, demandarán tu atención.
•Buen mes para tratar de introducir mejoras y cambios en su lugar de trabajo o en el hogar.
•Mejor mes para consolidar relaciones de pareja, para establecer convivencias o contraer matrimonio.
•Mes para buscar equilibrio, integrar ambas partes de tu vida la emocional y la profesional.
•Se presentaran lecciones relacionadas con el desapego, identifica cuales son los tuyos porque podrían verse afectados.
</t>
  </si>
  <si>
    <t xml:space="preserve">Mes personal número 7: “Mes para reflexionar y tomar decisiones”…
Energía para profundizar en temas de estudio y explorar nuestra espiritualidad.  Momento para activar la mente y hacer introspección sobre las decisiones que hemos tomado, así que no te desesperes porque en este mes las cosas deben ir más despacio, estarás decidiendo para el futuro.
Mes, ideal para re-estructurar proyectos y aterrizar ideas
Es un tiempo en el que las responsabilidades aumentan notablemente, organízate para que puedas cumplir con todas ellas o te sentirás culpable o poco productivo.
Claves del mes 7: 
•Tiempo para reflexiona sobre nuestros pensamientos, creencias y las consecuencias que has creado a través de cada uno de tus actos.
•Mes de grandes aprendizajes, inscríbete en el curso, diplomado o la clase que necesitas y complementa tus conocimientos.
•Se concretan tus ideas, sueños y proyectos, será un mes de mucho crecimiento para ti.
•Momento en la vida en la que te verás forzado a tomar decisiones, analiza y reflexiona muy bien las cosas antes de hacerlo.
</t>
  </si>
  <si>
    <t xml:space="preserve">Mes personal número 8: “Mes de recompensas y logros”…
Este mes la vida te da la oportunidad de vencer todos tus obstáculos, de conquistar aquello que tanto has estado deseando y por lo que tanto te has esforzado y  trabajado, es tiempo de cosecha, pero recuerda que si no hay nada plantado, pues no habrá tal cosecha… así que enfócate en sacar adelante todo aquello por lo que has estado trabajando.
Vibra energía de crecimiento emocional y profesional,  cambios de pensamiento  y actitudes. Momento para ser determinantes y alcanzar el éxito, utiliza este mes para conseguir tus metas más difíciles.
Claves del mes 8: 
•Este tiempo la vida te carga de una gran  fortaleza, vigor y resistencia para el logro de tus metas.
•Está asociado también con la tenacidad, persistencia y eficiencia, no habrá obstáculos para ti.
•Mes para tomar el mando de las cosas y de tu vida misma, tendrás éxito en negociaciones, proyectos, asociaciones y asuntos de dinero para los que hayas estado trabajando o esforzándote en conseguir.
•Mes de grandes movimientos, avances y progreso, adáptate de la mejor manera, no te resistas todo lo que este mes te brinda ya que el resultado será excelente.
</t>
  </si>
  <si>
    <t xml:space="preserve">Mes personal número 9: “Mes para concluir y apresurar los términos”…
Energía de Limpieza profunda, cierre, balance y evolución.
Tiempo para terminar proyectos inconclusos, limpiar el closet y deshacernos de lo que ya no sirve para nuestro siguiente ciclo……
Momento de transformación y transición hacia lo nuevo….
En este mes, es muy probable que regresen a tu vida personas o situaciones del pasado que quedaron inconclusas de alguna manera, es tu momento de retomarlas y cerrar el ciclo.
Úsalo para hacer balance, eliminar lo que ya no te es útil y empezar aplanear tus siguientes pasos.
Claves del mes 9: 
•Retomar cosas del pasado que quedaron inconclusas.
•Sé claro con las cosas que quieres y necesitas. Atrévete a decir lo que está en tu corazón sin miedos.
•Toma decisiones importantes y finaliza con el trabajo o alguna relación, Atrévete a romper tus estructuras y esquemas y disfruta de tu liberación.
Mes de reencuentros inesperados; regresan a tu vida cosas o personas que no concluyeron su ciclo.
</t>
  </si>
  <si>
    <t xml:space="preserve">Mes personal número 11: “Mes de Transformaciones y Evolución”…
Energía para hacer introspección, trasmitir nuestra sabiduría  y buscar un camino diferente ya sea espiritual o profesional, momento de cuestionarnos y reflexionar sobre el camino andado.
En este mes nos ocuparemos de trámites, papeleo y todo lo que tenga que ver con formalizar o aterrizar ideas o proyectos.
Es un mes donde se dan compromisos importantes, excelente para programar firmas de contratos, negociaciones, acuerdos etc.
Usa este mes para hacer proyecciones, análisis, estudiar y prepararte con todo lo que haga falta para lograr tus metas.
Excelente para dar inicio a cursos o capacitaciones como estudiante pero está muy bien auspiciado también para que te lances por fin a enseñar algo de lo mucho que sabes a los demás.
Úsalo para compartir tus conocimientos y ayudar a los demás a entender sus lecciones.
Claves del mes 11: 
•Mes para tomar decisiones importantes y hacer cambios profesionales y personales.
•Gran oportunidad de compartir tus ideas, conocimientos y habilidades con otros.
•Tiempo en el cual tus  palabras e ideas inspiran e impresionan, se concretaran en  cualquier proyecto que elijas, prepárate para aterrizar este año todo lo que traes en la cabeza.
•Momento en la vida en la que te verás forzado a tomar decisiones, analiza y reflexiona muy bien las cosas antes de hacerlo.
</t>
  </si>
  <si>
    <t xml:space="preserve">Mes personal número 22: “Mes de materialización y progreso”…
Energía de crecimiento material y  profesional,  momento de enseñanza y creación de métodos propios, es tiempo de pasar a la práctica y construir en base a tu conocimiento, el mes en el cual podrás  ser independiente y convertirte en tu propio jefe ha llegado, ahora no tendrás obstáculos si plantes volar con tus propias alas.
Tiempo para salirnos de nuestras fronteras y buscar trascender, seguir tu intuición sobre decisiones importantes.
La economía muestra una mejoría importante, empezaras a sentirte más tranquilo en relación a tus finanzas en este período, úsalas con sabiduría porque puedes tender a hacer gastos innecesarios.
Momento para ser determinantes y alcanzar el éxito.
Claves del mes 22: 
•Mes para pensar en grandes términos, podrás lograr todo lo que te propongas, sin obstáculos.
•Tiempo de logro de tus metas más ambiciosas, momento de reconocimiento, prestigio y fama.
•Gran posibilidad de beneficios y recompensas materiales, la bonanza llega a tu vida.
•Progreso social y material.
</t>
  </si>
  <si>
    <t xml:space="preserve">Febrero </t>
  </si>
  <si>
    <t xml:space="preserve">Marzo </t>
  </si>
  <si>
    <t xml:space="preserve">Mayo </t>
  </si>
  <si>
    <t xml:space="preserve">Abril </t>
  </si>
  <si>
    <t xml:space="preserve">Junio </t>
  </si>
  <si>
    <t xml:space="preserve">Julio </t>
  </si>
  <si>
    <t xml:space="preserve">Agosto </t>
  </si>
  <si>
    <t xml:space="preserve">Setiembre </t>
  </si>
  <si>
    <t xml:space="preserve">Octubre </t>
  </si>
  <si>
    <t xml:space="preserve">Noviembre </t>
  </si>
  <si>
    <t>Diciembre</t>
  </si>
  <si>
    <t>Cartas del tarot para el armónico anual</t>
  </si>
  <si>
    <t>1 es la carta que representa el armónico anual</t>
  </si>
  <si>
    <t xml:space="preserve">El Mago creador.
Representa el símbolo del Buey-Guía, se identifica con la letra Aleph del alfabeto egipcio. Este arcano muestra el Sol en Leo. Representa el acto de crear, mostrando al hombre como una unidad viviente, es el padre que representa el principio de las cosas. Es el fundamento y la razón de todas las cosas. Sintetiza, en el plano espiritual, el todo, ofrece el poder de descifrar los misterios, y la posibilidad de servirse de ellos. Representa el poder de evolución mental, el de la transformación y de la coordinación. Ofrece la capacidad de resolver los problemas, de considerar y de proponer. Tiene la facultad de despertar pasiones y también la facultad de dominarlas. La creación y la moderación es la propuesta en el plano físico. Además otorga la posibilidad de organizar los elementos naturales, con un gran dominio de las fuerzas originales para poder disponer y para poder adquirir, permitiendo así, que a través de las obras se demuestre el tipo de pensamiento. El mago creador nos permite dominar los obstáculos materiales, nos anuncia la llegada de amigos leales que nos ayudarán a desarrollar proyectos y de otros que tal vez, por ser amigos celosos nos puedan obstaculizar esas metas. Muestra el comienzo de nuevas iniciativas y la adquisición de nuevas relaciones sociales.
</t>
  </si>
  <si>
    <t>2 es la carta que representa el armónico anual</t>
  </si>
  <si>
    <t xml:space="preserve">La Sacerdotisa. 
Representa el ensueño, la letra Beth del alfabeto egipcio y la Luna en Cáncer. Es el símbolo del sacerdocio, es la madre simbolizando la sustancia divina, el principio de todas las cosas. Es el pasado y el futuro que se unen en el presente, es la ciencia oculta y también la ciencia que se hace presente y esta a nuestro alcance, es el desarrollo de la imaginación. Simboliza, en el plano espiritual, el útero materno donde las imágenes toman forma. Es la dualidad, en el terreno mental, de lo negativo por un lado y lo positivo por el otro, es lo femenino y lo masculino, el entendimiento que comprende todos opuestos, es la luz y la oscuridad. Permite la comprensión de los sexos, en el terreno físico, el vínculo a través de la química propiciando el intercambio, el comercio mismo. Nos muestra que para todo aquel que sepa caminar por la vida tiene la oportunidad de obtener condiciones favorables. Nos anuncia pérdidas pero también ganancias, las escaladas y los descensos serán una constante en la vida. Ofrece favorables inspiraciones para llevar a cabo con buenos resultados todo lo que se inicie. Surgirán algunas relaciones en la que se manifiesta la repulsión y la atracción, como expresión de esa dualidad permanente. Nos predice un intercambio permanente en el plano físico, mental y espiritual.
</t>
  </si>
  <si>
    <t>3 es la carta que representa el armónico anual</t>
  </si>
  <si>
    <t xml:space="preserve">La Emperatriz: 
Representa la energía viva, la letra egipcia Ghimel y revela a Júpiter en Sagitario. Es la acción en función de algo, es la naturaleza divina, la unión de todas las fuerzas enfocadas a concretar un único fin. El pasado y el futuro se hacen realidad en el presente dentro del plano espiritual, así como también se hace posible el descubrimiento de lo que esta oculto y lo que es evidente. Muestra la creación permanente, establece la conservación de las cosas y también su renovación. Representa lo espiritual, lo mental y lo físico, en toda lo que conduce a la generación de las cosas y a su manifestación. En el plano físico la vida interior no solo esta puesta de manifiesto a través de los deseos sino también a través de sus actos. Ayuda a concretar las ideas, a expandirlas y a multiplicarlas. Nos esta mostrando que constantemente se están creando tanto cosas que serán útiles como cosas que tal vez, jamás serán utilizadas. Este arcano nos esta anunciando una gran generación de ideas que favorece la producción, y con ella el aumento de las riquezas en todos los ámbitos, pero fundamentalmente los bienes materiales se verán acrecentados. Nos indica que se presentarán numerosos obstáculos que necesariamente deberemos enfrentar y para ello nos ofrece las oportunidades y la fuerza para lograr vencerlos. Promete disfrutar de grandes satisfacciones, en la medida que se vayan venciendo todos los obstáculos.
</t>
  </si>
  <si>
    <t>4 es la carta que representa el armónico anual</t>
  </si>
  <si>
    <t xml:space="preserve">El Emperador. 
Representa el arte de gobernar todos los territorios. En ella se encuentra Urano en Acuario y la letra egipcia Daleth. Simboliza la autoridad y todo su poder, también la voluntad y la unidad concretada. De sus poderes surge el dominio absoluto, dentro de una realidad imperceptible y una perceptible. En lo espiritual, la virtud divina del hombre es capaz de materializarse constantemente. Es la manifestación de la vida en todo su desarrollo jerárquico. Es la solución, en el plano mental, para concretar cualquier labor, representa la afirmación y la negación. Propone la concreción de todo lo material en el plano físico, el esfuerzo rendirá frutos y permitirá obtener el poder. Nos determina que solo será necesario poner el corazón en nuestro pensamiento para que la bendición caiga sobre todo trabajo realizado con las manos. Nos predice grandes logros económicos, con muy buenas bases para grandes emprendimientos. No será fácil lograr las metas, pues habrá condiciones penosas en el camino, pero todo el esfuerzo que se invierta para lograr sus propósitos dará muy buenos resultados. Habrá ayuda por parte de los amigos, pero también las amistades representarán algún tipo de obstáculos. En un mismo momento la suerte se presentará a favor y en contra.
</t>
  </si>
  <si>
    <t>5 es la carta que representa el armónico anual</t>
  </si>
  <si>
    <t xml:space="preserve">El Jerarca. 
Imparte los favores de su ministerio. Representa a Mercurio en Virgo y a la letra He. Es el misterio que infunde el fuego de la vida. Representa la luz divina que otorga la vida. Simboliza la religión del universo y la iniciación de los rituales sagrados. Es la manifestación de la Ley Universal en el plano espiritual, por la cual el Creador pone en evidencia sus creaciones. Es la atracción cósmica ofreciendo un sentido místico. En el plano mental ofrece el conocimiento a través de la enseñanza. Es la representación de la libertad en base a la Ley. El jerarca favorece la identificación personal y con los otros, y determina el manejo de las pasiones. Nos ayuda en el plano físico, a controlar y dar una dirección a las fuerzas naturales. Concede la libertad basado en la disciplina. Las creaciones físicas y mentales estarán signadas por la eficacia. Es la apertura de los ojos para lograr ver, y del corazón para sentir. Pronostica experiencias nuevas donde habrá restricciones, y también promete libertad. Propiciará grandes enseñanzas que serán muy fructíferas. En el plano afectivo habrá buenos amores y también amoríos. Será un constante ir y venir de cosas, los hechos y las cosas que se van en determinado momento regresarán y las que vienen se irán también. Se sentirá la presencia de buenos amigos y aparecerán amigos que ocasionarán conflictos graves. La posibilidad de viajes estará latente, pero algunos no serán muy beneficiosos.
</t>
  </si>
  <si>
    <t>6 es la carta que representa el armónico anual</t>
  </si>
  <si>
    <t xml:space="preserve">La Indecisión: 
Marca la necesidad de elegir entre dos opciones. Representa a Venus en Tauro y la letra egipcia Vau. Muestra el misterio de la causa que propicio la acción, para que esta sea eficiente. Determina la Ley Natural y la posibilidad de distinguir el camino del bien y el del mal. Es la virtud y el vicio en cualquier acción significativa. Nos ofrece el conocimiento intuitivo, en el terreno espiritual, para que a través de él, podamos distinguir que es lo correcto y que lo incorrecto. Simboliza la conciencia gobernada por una Ley Moral que le da el significado exacto a los actos. En el terreno mental, indica el derecho y el deber como impulso eficiente para concretar todos nuestros deseos. Es la vacilación entre mantener la abstinencia o entregarse al desenfreno. Es optar entre la necesidad y la libertad, es elegir entre el celibato o la vida conyugal, entre gozar de los placeres mundanos y obtenerse de disfrutar descontroladamente. Su principio esencial es fortalecernos con los trabajos que nos ofrecen las fuerzas celestiales. En las relaciones entre los sexos nos brinda privilegios pero también nos muestras los deberes a cumplir. Nos augura la contraposición de fuerzas, habrá separaciones y divorcios. Los más profundos deseos pueden ser cumplidos, algunos de ellos serán satisfactorios, con otros nos sentiremos defraudados. Nos ofrece la posibilidad de conseguir todo aquellos que se persiga.
</t>
  </si>
  <si>
    <t>7 es la carta que representa el armónico anual</t>
  </si>
  <si>
    <t xml:space="preserve">El Triunfo. 
Simboliza el misterio de la Luz universal, representa la letra Zhain del alfabeto egipcio y a Neptuno en Piscis. Representa el conocimiento de la intención y toda la fuerza para llevarlo a cabo. En el terreno espiritual, represente al espíritu tomando forma, ascendiendo sobre la materia. Represente las virtudes que dan certeza a los actos creadores a través del conocimiento necesario, mostrando además los principios que gobiernan esos actos. En el plano mental, la iluminación de la razón ayuda a eliminar las dudas, y la adquisición progresiva de la verdad permitirá eliminar los errores. Propone en el plano físico el desarrollo de los deseos y las intenciones de superarse constantemente, entre el mundo interior y el mundo exterior se crean contrastes que determinan ciertas dudas que pueden conducir a la depresión, pero también resultados muy prósperos. Nos esta diciendo que para que consigamos todo lo que pedimos deberemos cargar nuestra alma de sabiduría y nuestro corazón de ciencia. Nos predice tiempos de justicia, decisiones acertadas y también la reparación de los desaciertos. Nos estará dando una gran fuerza de atracción. Todo lo que se persiga con empeño, se conseguirá y nos brindará satisfacciones y contrariedades. Es el honor en contraposición con el deshonor.
</t>
  </si>
  <si>
    <t>8 es la carta que representa el armónico anual</t>
  </si>
  <si>
    <t xml:space="preserve">La Justicia.
Muestra el conocimiento y la sentencia, basado en la sabiduría. En este Arcano encontramos a Saturno en Capricornio y a la letra egipcia Heth. Simboliza a la conciencia como el principio básico del conocimiento, es la distribución equitativa, y es el comienzo de la existencia misma. En el terreno espiritual, es el conocimiento puro, es lo absoluto, muestra los actos llevados a cabo por el rigor, pero también con moderación. Toda la existencia centrada en la justicia, interpretada como una Ley implacable. En el terreno mental, muestra que por medio del pensar correcto y moderado se puede conseguir la felicidad, es la fuerza que otorga el derecho. Con respecto al terreno físico, representa la simultaneidad entre lo agradable y lo que no es agradable, a la atracción y a la repulsión, al desarrollo y al retroceso. Nos propone construir un santuario en nuestro corazón pero no hacer de nuestro corazón un culto. Este Arcano nos pronostica tiempo de retribuciones y restablecimientos. Se recibirán recompensas por determinadas acciones pero se sufrirán también castigos. Habrá ciertas ingratitudes mezcladas con situaciones gratificantes. Ciertos servicios prestados por error recibirán grandes recompensas, mientras que otras prestaciones hechas a conciencia, sabiendo los beneficios que ocasionarían, no serán ni reconocidas ni recompensadas.
</t>
  </si>
  <si>
    <t>9 es la carta que representa el armónico anual</t>
  </si>
  <si>
    <t xml:space="preserve">El Ermita.
Es la iluminación de todo el mundo interior. Se relaciona con la ubicación de Marte en Aries y con la letra Teth del alfabeto egipcio. Es el misterio de lo indescifrable. Simboliza el acto puro basado en el amor y la sensatez, es el instrumento de la conservación pero también, de la renovación. Representa una absoluta sabiduría en el terreno espiritual, las acciones humanas iluminadas por la luz divina, es la unidad conformada por el pensador con su propio pensamiento y con lo pensado. En el plano mental, es sinónimo de discreción, de misericordia y conocimiento. Es la justa elección entre lo verdadero y lo falso, es el agrado por todo lo moral y el desagrado por todo lo inmoral. Es comparar y en consecuencia resolver. En el terreno físico, es la conclusión de toda obra, de todo lo anterior que permite ascender a planos inmediatamente superiores. Nos induce a observar la tierra prometida pero no nos promete el acceso a ella. En su predicción nos ofrece la ciencia necesaria para realizar descubrimientos, con el orden necesario para concretarlos y la cautela suficiente para hacer un buen uso de ellos. Nos vaticina tiempos en los que habrá buenas asociaciones y tiempos en los que éstas serán poco propicias. La llegada de buenos amigos capaces de prestar ayudar y de amigos que solo serán un obstáculo. Nos ofrece luz para el entendimiento de lo inmediato y luz para desarrollar la intuición de todo lo que puede suceder.
</t>
  </si>
  <si>
    <t>10 es la carta que representa el armónico anual</t>
  </si>
  <si>
    <t xml:space="preserve">La Retribución. 
Revela el misterio de la compensación, muestra a Plutón en Escorpio y la letra egipcia Iod. Es el principio de la acción, es la rueda de la vida a través de rondas infinitas, la regularidad de las cosas, es el orden, es el karma con su causa y su efecto. En el terreno espiritual, simboliza el correr del tiempo con todas las circunstancias que conducen a la perfección. Es un constante retomar de todas las cosas y hechos. Simboliza la inducción y la deducción a nivel mental, es una permanente generación de emociones con la posibilidad de regular las pasiones, es el tiempo pero también la espera, es proyectar los pensamientos hacia aspectos infinitos. En lo físico nos conduce a la acción y a la paralización, es la aplicación de la moral a todo lo mundano. Son los deberes retrasados que se confrontan. Nos esta diciendo lo que cuesta conseguir el saber a través de la experiencia, pero además nos dice, que cuesta más conseguir el saber que nos falta. Este Arcano nos augura buena fortuna y mala fortuna, que a lo largo de nuestro camino habrá ascensos y descensos. La obtención de ciertas posesiones que serán legítimas y otras que serán de origen dudoso. Los enfrentamientos pasados serán reconsiderados y se repetirán las circunstancias de diferentes formas.
</t>
  </si>
  <si>
    <t>11 es la carta que representa el armónico anual</t>
  </si>
  <si>
    <t xml:space="preserve">La Persuasión.
Es el tranquilo acto de convencer. Representa la fuerza eficiente, a la letra egipcia Khaph, y el Sol en Aries. Simboliza el poder de la moral, los actos reflejos, también la fuerza de ánimo y todo lo superior que se encuentra en el hombre. En el terreno espiritual son las fuerzas que actúan bajo un principio jerárquico. Es el espíritu actuando sobre la materia, lo insuperable sobre lo que no lo es. Es la representación, en el plano mental, de la inteligencia. El conocimiento de la verdad ofrece la determinación para dominar, y la capacidad para crear. Conduce al dominio de las pasiones más bajas, en el terreno físico, permitiendo la conservación de la integridad moral propia. La fe también conduce a la generación de componentes materiales. Este Arcano conduce a llevar a cabo la oración de modo perseverante, aún cuando se este gozando de la esperanza y se sufra en el sinsabor. En su pronóstico nos estará ofreciendo el control de cualquier dirección que se siga con el consecuente dominio de todos los elementos. También nos estará indicando que ciertas cuestiones familiares nos conducirán a perder amigos, y la posibilidad de adquirir nuevas amistades, nos ofrece la renovación, la energía. Habrá sufrimientos, trabas, infamias y celos. Las contrariedades podrán ser muy bien sobrellevadas por intermedio de la resignación.
</t>
  </si>
  <si>
    <t>12 es la carta que representa el armónico anual</t>
  </si>
  <si>
    <t xml:space="preserve">El Apostolado. 
Es la acción consumada. Encontramos en este arcano la letra egipcia Lamed y la Luna en Tauro. Simboliza las ansias de servir con devoción, es el sacrificio voluntario consumado, el impulso creador se basa en la generosidad. Representa el comienzo de la acción que conduce a la expansión. En el terreno espiritual, con la intención de evolucionar, en lo inferior se consagra lo superior. Es la satisfacción de las realizaciones basadas en el bien. Muestra la contrariedad de las creaciones en el plano mental y la necesidad de adquirir la sensatez necesaria para tomar la decisión correcta. Todo lo penoso que puede involucrar el mismo obrar. En el terreno físico se inclina por la reintegración de los valores, muestra la pesadumbre de lo material que surge cuando la moral predomina. Es el desinterés puesto en todas las acciones que se llevan a cabo. Este arcano nos enseña, que aunque estemos fatigados durante el día o afligidos durante la noche no debemos derrumbarnos y continuar siempre alertas. Nos anuncia ciertas contrariedades en la vida, habrá angustias. En algunos momentos de la existencia se presentarán pérdidas materiales mientras que en otros momentos, pueden surgir ganancias. Algunos presentimientos proporcionarán angustias que deberán ser superadas rápidamente, para que puedan ser suplantadas por la aparición de presentimientos que animan a continuar, a pesar de las caídas.
</t>
  </si>
  <si>
    <t>13 es la carta que representa el armónico anual</t>
  </si>
  <si>
    <t xml:space="preserve">La inmortalidad. 
Es la renovación de La vida misma. Representa el misterio del agua esencial, a Mercurio en Géminis y encontramos la letra Mem. Es la prolongación del hombre a través de sus obras, es el principio de la concepción, pero también es el renacimiento y la renovación. Los elementos se transforman constantemente por otros. En el terreno espiritual con la desintegración de sus partes, la vida se renueva, la transformación de la materia que contiene la vida, ayuda a liberar su esencia. Es la acción con su consecuente reacción en el terreno mental, la formación se produce a través de la disolución, por medio de la intuición se llega a la deducción, es el movimiento como producto de la inercia. En el terreno físico es todo lo que tiene que concluir para dar origen al renacimiento de otras formas, refiriéndose a todo lo que destruye o corrompe, es el adormecimiento, el letargo, el endurecimiento, el padecimiento. Nos conduce a levantarnos cada día con la luz, después que la noche ha concluido y ha surgido el nuevo día. Este arcano anuncia las desilusiones y los desengaños, que provocarán la destrucción de los afectos, el derrumbe, cosas solicitadas recibirán una respuesta negativa. Pero también el alma será merecedora de goces puros, los amigos se presentarán ayudando, todas las condiciones serán renovadas. Algunos cambios provocarán disfrutes dolorosos, si bien las circunstancias malas tenderán a mejorar, las buenas pueden inclinarse a peor.
</t>
  </si>
  <si>
    <t>14 es la carta que representa el armónico anual</t>
  </si>
  <si>
    <t xml:space="preserve">La Temperancia
Es la confusión de las virtudes, es la acción y la idea. En esta carta se representa la letra Num y encontramos a Júpiter en Cáncer. Simboliza la primera emanación que se impulsa y se propaga por intermedio del calor y de la luz. Los opuestos encuentran afinidad y los elementos se pueden transformar. Por intermedio de la compasión se logra dar la proporción justa a todas las cosas. Es la actividad espiritual eterna de la vida misma. El mundo interior y el exterior se unen bajo el sagrado sacerdocio. Es la asociación de todas las ideas en el terreno mental, donde las emociones se solidarizan. Muestra el intercambio de los afectos, donde las virtudes y los vicios se entremezclan. En el terreno físico, las emociones se suavizan y las pasiones encuentran su equilibrio, porque la fuerza vital llega a su armonía. Las relaciones entre los sexos tienden a regularse, conduce a la prudencia, a la pureza. Es necesario conseguir el equilibrio para no doblegarse ante nada, ni intentar doblegar a los otros. Nos anuncia nuevas amistades, reciprocidad en los afectos, relaciones donde los intereses y la química se confunden. Promete obligaciones, también aparecerán distintos tipos de amores, donde se hará presente la traición, la devoción y las penas. Algunas cosas que quedan en algún momento se irán, otras que se van pueden, en otro momento volver.
</t>
  </si>
  <si>
    <t>15 es la carta que representa el armónico anual</t>
  </si>
  <si>
    <t xml:space="preserve">La Pasión. 
Como representa la circulación del misterio de la luz astral, emanando irradiaciones potenciales, determina a Neptuno en Leo y la letra egipcia Samekh. Simboliza el fuego creador, el comienzo de la voluntad personal. Muestra el misterio como algo atractivo. Determina que el fundamento eficaz es el destino. La voluntad individual se manifiesta en el terreno espiritual, instando a descubrir los misterios y a modificar el orden establecido. En el terreno mental, muestra las pasiones encadenadas, el deseo con su máxima fuerza, es el ánimo que se agita impulsándonos a la búsqueda de lo opuesto. La aparición de los intensos deseos en el plano físico, así como también los procesos de producción. Conduce a la ira y al miedo, a la maldad y a la disputa, es el agua capaz de apagar el fuego. Nos menciona que no debemos descuidar lo nuestro, por atender lo ajeno. Nos predice distintas pasiones, ciertas discrepancias, determina momentos de fatalidad, por otro lado tanto la legalidad como la adversidad puede conducir al bienestar. Pueden aparecer afectos perniciosos tanto para aquellos que son capaces de sentirlo como para los que son objetos de ellos. Se presentarán también situaciones en las que la violencia se hará presente y habrá deseos descontrolados.
</t>
  </si>
  <si>
    <t>16 es la carta que representa el armónico anual</t>
  </si>
  <si>
    <t xml:space="preserve">La Fragilidad.
Determina los propósitos cumplidos de la providencia divina. En este arcano encontramos a Mercurio en Virgo y a la letra egipcia Ain. Simboliza el principio de lo indescifrable, representa lo transitorio, lo mortal como condición irrefutable de la evolución de las cosas y de los seres. Espiritualmente, el entendimiento comienza a despertar, la voluntad es estremecida por el poder de la congoja. Muestra todo lo inferior iluminado por una luz superior que se hace cada vez más sensible. Es la anulación de todo lo material en el plano mental, los logros intelectuales se verán envueltos en la miseria, el adiestramiento de la arrogancia. En el terreno físico, se establecen aspectos contradictorios, se hará presente la inflexibilidad y la rigidez lo que provoca que los poderes latentes se despierten y los sueños se esfumen a causa de los valores transitorios. Nos conduce a observar la luz de forma permanente, que es lo único que tiene verdadero valor. Este arcano nos augura inesperados accidentes, circunstancias buenas y malas traerán ciertos beneficios, en el camino habrá desasosiegos, tormentas, penurias y muertes. El amor y el odio se darán con la misma reciprocidad, al igual que la indiferencia y los celos, la nobleza y la traición.
</t>
  </si>
  <si>
    <t>17 es la carta que representa el armónico anual</t>
  </si>
  <si>
    <t xml:space="preserve">La Esperanza. 
Es la acción de transformar los componentes esenciales. Se muestra en él la letra Phe, representa un respiro cósmico y a Saturno en Libra. Simboliza los actos puestos en acción. La fe como gran fuerza creadora, la existencia considerada inmortal. En lo espiritual es la generosidad que da origen a la vida, es la fe puesta en todos los actos, es la manifestación de la inteligencia primaria dando fundamento a una inteligencia superior. Lo evidente sirve de prueba para iluminar el conocimiento en el terreno mental, las experiencias pasadas sirven de luz, es la causa dando lugar al efecto. En el terreno físico, permite que todos los procesos surgidos durante la vida sirvan de alimento al optimismo. Se refiere a todo lo que es capaz de fortalecer el ánimo, la agudeza, las esperanzas, la misericordia, aún cuando las privaciones se hagan presentes. Nos demuestra que la esperanza esta en el corazón optimista, a pesar que muchos para poder creer necesitan ver las señales y para poder obrar necesitan contar con la sabiduría suficiente. Este arcano promete el desarrollo de la intuición, de la fortaleza. Ofrece iluminación y también nacimientos. Habrá también pequeñas satisfacciones acompañadas de insatisfacciones en igual medida. Surgirán enojos que serán acompañados de reconciliaciones. Se harán presentes las ganancias y las privaciones, junto con abandonos.
</t>
  </si>
  <si>
    <t>18 es la carta que representa el armónico anual</t>
  </si>
  <si>
    <t xml:space="preserve">El Crepúsculo.
Es la manifestación mágica de la luz. Es el misterio del escabroso poder, representa la letra egipcia Tzade y a Urano en Escorpio. Simboliza el comienzo del poder magnético, es la exclamación que conduce a la indagación, es el poder de encantar, es la exhalación que conduce al deslumbramiento. En el terreno espiritual, es el misterio que da razón a las cosas determinando el ser de las mismas, todo lo creado se mueve en un constante peligro. En el aspecto mental lo negativo toma fuerza para dar origen a lo positivo. Propende en el terreno mental a desarrollar los procesos que se vinculan con la expresión de los poderes que se encuentran ocultos, las fuerzas impalpables comienzan a reclamar su deliberación aunque no encuentren un resultado palpable. Ofrece la toma de conciencia de que la caridad esta relacionada estrechamente con la paciencia, ambas deben ser inagotables. Este arcano augura falta de estabilidad en la vida, situaciones precarias, donde las confusiones y los grandes cambios se hacen presentes. Las asechanzas estarán marcando una constante. Aparecerán inesperados impedimentos en todas las actividades y acciones, se necesitarán realizar largas deliberaciones tendientes a solucionar problemas constantes. Los resultados se darán de forma lenta o bastante retrasada. Es necesario tener mucho cuidado ya que se estará expuesto a triunfos y fracasos supuestos.
</t>
  </si>
  <si>
    <t>19 es la carta que representa el armónico anual</t>
  </si>
  <si>
    <t xml:space="preserve">La Inspiración. 
Es la acción destilando sus efluvios. Representa el enigma del cordón amarrado, a Plutón en Sagitario y a la letra egipcia Quoph. Simboliza el origen de la fuerza creadora, es lo que nutre a la naturaleza misma, son los actos que se suceden, es el lamento, sufrimiento y satisfacción que simultáneamente muestran su fuego creador. Es la luz divina en el plano espiritual, es el comienzo de todo tipo de conocimiento, son todas las verdades que surgen de la verdad primordial. Representa a nivel mental la inteligencia que da lugar a los verdaderos conocimientos. Simboliza el principio capaz de nutrir todas las fuentes donde se reflejarán las imágenes. En lo físico son todas las acciones a través de las cuales se ve facilitada la unión entre el componente masculino y el femenino. Las ideas son materializadas en los actos. Nos induce a avanzar con paso firme usando la fe como escudo, avanzando con el viento a favor o enfrentando las tempestades. Nos conduce a aumentar nuestro poder, lograr el éxito a través de la constancia. Nos anuncia que habrá dicha en los actos que se lleven a cabo, el esfuerzo propio y el de los otros comenzarán a dar sus frutos, también contaremos con la claridad necesaria en todo lo que se desee, también habrá herencias y fuego consumiendo lo deseado.
</t>
  </si>
  <si>
    <t>20 es la carta que representa el armónico anual</t>
  </si>
  <si>
    <t xml:space="preserve">La Resurrección. 
Representa la espiritualidad despertando. Es la representación de la individualidad de cada ser, involucrado su misterio, se muestra a Marte en Capricornio y la letra egipcia Resh. Es el comienzo de la sentencia, del aspecto intelectual, de la resolución y del debate. La sucesión de formas dando origen a la vida misma y la sucesión de ideas dando lugar a los actos. Es la iluminación interna en el plano espiritual. Son las fuerzas latentes despertando, es el acto basado en la inspiración. Representa la genialidad revelándose en el terreno mental, el impulso que nos conduce a cosas superiores. Es la transformación de todas las cosas inferiores en superiores. Acciones que conducen a la armonía en el plano físico, la conciencia y la subconciencia en plena correspondencia. Es todo lo que esta entre lo material y lo moral, es aquello que pensamos sentimos y accionamos. Nos propone poner cada cosa en su lugar, para que adquieran madurez. Nos ofrece la posibilidad elegir convenientemente. Habrá éxito en las iniciativas, con buen trabajo y grandes ganancias. Lo bueno y lo malo tendrán sus compensaciones. Los amigos traidores serán anulados por los amigos fieles. Surgirán perdidas muy dolorosas, el bienestar por el que se estará pasando provocará ciertos celos en los otros.
</t>
  </si>
  <si>
    <t>21 es la carta que representa el armónico anual</t>
  </si>
  <si>
    <t xml:space="preserve">La Transmutación. 
Es la acción de la transformación. Representa el misterio que conducen a todos los cambios. Se encuentra Neptuno en Acuario, y la letra egipcia Shin. Es la misma acción puesta en función triple, abarcando la fuerza creativa, renovadora y conservadora. Es origen cósmico irradiando luz, la habilidad que permite convertirse en cualquier fiera, toro, león, águila, pero también en hombre. Es el alma inmortal en el terreno espiritual, las ideas en constante evolución, el dominio para la manifestación de las infinitas formas de la vida. En el terreno mental es capaz de originar todos los conocimientos en base al conocimiento supremo original, es la santidad. Son en el terreno físico, las acciones que benefician el estímulo, son las inspiraciones que resultan acertadas, el reconocimiento del trabajo, las generosas ganancias, todas las acciones orientadas a mejorar. Nos muestra que cada día amanece y termina el día, y que todo vuelve a su origen. Este arcano augura una larga vida, se recibirán herencias, la vida con triunfos y distinciones. La honestidad será disfrutada a pleno. Los afectos estarán disputados entre los rivales, los buenos amigos aparecerán para protegernos, los obstáculos aparecerán pero habrá también muy buena habilidad para lograr vencerlos, aparecerán algunas situaciones inciertas y se aclaran también algunas eventualidades.
</t>
  </si>
  <si>
    <t>22 es la carta que representa el armónico anual</t>
  </si>
  <si>
    <t xml:space="preserve">El Regreso.
Es la acción de reintegrarse. Representa el misterio de la ley que es capaz de entender el conjunto de leyes, se representa en éste, la letra Thaw y a Venus en Piscis. Simboliza la luz que da vida, es el calor vivo. Las infinitas experiencias favorecen la expansión del alma. El poder del conocimiento pone en evidencia las realidades existentes. Son en el terreno espiritual las insondables leyes divinas, es la misteriosa razón que da forma a las cosas, el trascendental motivo que acompaña todos los actos. Es en el terreno mental, el origen de la ingenuidad como resumen de la incapacidad. Es el error causado por la audacia, la imprudencia que ocasiona ciertos riesgos. Acciones, en el terreno físico, que conducen a la irreflexión, a la excentricidad, a la soberbia, al desvarío, al descontrol de las pasiones que buscan su compensación. Nos induce a no involucrar el alma en los misterios y secretos de las cosas. Este arcano nos predice que todo lo que hoy disfrutamos nos será quitado, la búsqueda constante de todo aquello que se quiere poseer, traerá cierta perturbación, el engreimiento como camino hacia la ruina. Habrá riesgo de apartarse de todo. Surgen riesgos de regalos insidiosos. Se vivirán desilusiones y promesas falsas, pero también se vivenciará el final de algunas cosas y el inicio de otras.
</t>
  </si>
  <si>
    <t>23 es la carta que representa el armónico anual</t>
  </si>
  <si>
    <t xml:space="preserve">El Labrador.
Representa la acción de cultivar nuestra propia tierra poniendo en ello la conciencia misma. Es la habilidad que tiene el ser humano de realizarse en forma individual y plena. Este arcano se relaciona directamente con el planeta Mercurio y con su poderoso accionar. En éste encontramos el número 5 y también la letra T. Simboliza el trabajo constante que se debe realizar para adquirir el conocimiento y la posibilidad de aprovechar los resultados de las propias experiencias, gracias al accionar de la inteligencia elemental. En su reflexión nos muestra la necesidad de trabajar no solo para nosotros mismos sino también para los que componen nuestro entorno. Como carta de predicción nos anuncia que a nuestra vida llegarán amigos inesperados que tendrán mucho poder, será necesario tenerlos en cuenta ya que necesitaremos en algún momento, la ayuda de ellos para la realización de emprendimientos propios. Será importante desarrollar la fe que nos ofrece este arcano, sobre todo aquella que podemos poner en nuestros amigos concretando el acto de recibir su ayuda pero también ofreciéndola incondicionalmente. Nos brinda la posibilidad de desarrollar la propia voluntad para poder elevarse. También contaremos con el buen obrar de los amigos que nos conducirán a la superación.
</t>
  </si>
  <si>
    <t>24 es la carta que representa el armónico anual</t>
  </si>
  <si>
    <t xml:space="preserve">La Tejedora. 
Simboliza la acción que conduce a cultivar todas las virtudes hogareñas. Representa a toda mujer que trabaja afanosamente con el fin de custodiar su propio hogar y su honradez. Este arcano se asocia con el número 6, con la letra U y con el accionar del planeta Venus. Simboliza el trabajo basado en la inteligencia fundamental que permite obtener los resultados de todo aquello que se ha aprendido. En su reflexión nos propone trabajar arduamente para mantener nuestra propia honra que a su vez nos permitirá honrar a los otros. Como carta de predicción nos promete que todo aquel que realiza una labor diaria con entusiasmo logrará una organización de la economía de su hogar. Confiere una maternidad basada en la honestidad. Nos indica que todas aquellas obligaciones adquiridas concientemente podrán llevarse a cabo con un gran desempeño. Este arcano ofrece la protección necesaria a toda mujer que manteniendo su honra, se dedique con empeño a trabajar en beneficio de su hogar y su familia.
</t>
  </si>
  <si>
    <t>25 es la carta que representa el armónico anual</t>
  </si>
  <si>
    <t xml:space="preserve">El Argonauta.
Simboliza una búsqueda constante de todo lo desconocido. Representa la propia inspiración basada en la virtud del ser humano. Se lo asocia con el número 7, con la acción del planeta Neptuno y con la letra V. Es la representación de aquel hombre que posee una gran fuerza de voluntad mediante la cual podrá enfrentar todo lo desconocido y superar los numerosos peligros que se esconden en ello. Nos induce en su reflexión a ser persistentes en todos los actos y acciones que llevemos a cabo durante nuestra vida, dejando de lado cualquier posibilidad de detenernos en el camino. Este arcano nos augura tristezas que serán causadas por la ausencia o el abandono de seres queridos. También se presentará la posibilidad de realizar viajes que nos alejarán de nuestro lugar de origen. Habrá también grandes cambios, durante los cuales deberemos afrontar la pérdida de muchas cosas para lograr la ganancia de otras que ocuparán su lugar. Será necesario mantener el equilibrio ya que deberemos sobrellevar grandes discusiones y fuertes enfrentamientos que tendrán lugar dentro de nuestro ámbito hogareño.
</t>
  </si>
  <si>
    <t>26 es la carta que representa el armónico anual</t>
  </si>
  <si>
    <t xml:space="preserve">El prodigio. 
Simboliza la acción de realizarse. Representa la habilidad del hombre de estar en la búsqueda constante de lo maravilloso y en la creación de lo sorprendente. El número asociado a esta carta es el 8 y la letra es la X. Encontramos en ella la acción del planeta Saturno. Simboliza al tiempo accionando como justicia y como fuerza de expresión. Nos muestra como reflexión que es necesario comprender que hay un tiempo justo para todo, en el que se han destruido cosas, que hoy, hay que reconstruir, se deberá reemplazar ese pasado que se utilizó para hablar por un presente donde se hace inevitable aprender a callar. Este arcano nos predice la concreción de los objetivos que hemos tenido pendientes, nos ofrece la oportunidad de realizar los cambios que sean necesarios para lograr el éxito. En el camino que recorreremos para concretar nuestras metas se presentarán ciertos peligros que serán una amenaza en nuestra vida, pero que podremos superar realizando los cambios que sean necesarios. Se nos presentarán enseñanzas insospechadas que no debemos dejar pasar.
</t>
  </si>
  <si>
    <t>27 es la carta que representa el armónico anual</t>
  </si>
  <si>
    <t xml:space="preserve">Lo inesperado.
Representa todo aquello que aún sin ser advertido se hace evidente. Representa la capacidad del hombre en relación a los lineamientos subconscientes. Se asocia con el número 9, con la letra Y, y con el poder del planeta Marte. Simboliza el desarrollo de la vida interna que determinará el desarrollo de la vida exterior. Nos muestra en su reflexión, que para conseguir ciertas cosas o beneficios no es necesario hacer un uso excesivo de adulación ni tampoco se debe usar la soberbia para conseguir el progreso anhelado. Como arcano nos predice que lograremos los éxitos pero se deberá ser paciente, ya que estos estarán condicionados por ciertas situaciones o personas. Durante el camino surgirán gran cantidad de sorpresas, por lo que será necesario estar muy alertas, estaremos expuestos a conspiraciones y traiciones por parte de personas de las cuales jamás se hubiese sospechado. Debemos ser pacientes ya que tendremos la oportunidad de realizar descubrimientos y hallazgos que si bien tardan en llegar, estos serán seguros.
</t>
  </si>
  <si>
    <t>28 es la carta que representa el armónico anual</t>
  </si>
  <si>
    <t xml:space="preserve">La Incertidumbre.
Representa la acción por medio de la cual se lleva acabo el debate. Es la capacidad que tiene el hombre de poder adquirir la determinación propia. Esta asociado con la letra Z, con el número 1 y con el planeta Plutón. Simboliza la cordura como razón fundamental para determinar cada uno de nuestros actos. En su reflexión nos muestra que no debemos buscar en los otros lo que nosotros somos, así como tampoco debemos buscar dentro de nosotros lo que solo está en los demás. Este arcano nos augura contrariedades y trabas en nuestros objetivos, que deberán ser solucionados rápidamente ya que nos ocasionarán ciertos retrasos en la concreción de esos objetivos. Nos predice la presencia de ciertos misterios a lo largo de nuestro camino que deberán ser resultados para poder continuar, pero debemos estar alertas para poder aprovechar la ciencia que también nos ofrece este arcano para resolver todas estas cuestiones.
</t>
  </si>
  <si>
    <t>29 es la carta que representa el armónico anual</t>
  </si>
  <si>
    <t xml:space="preserve">La Domesticidad. 
Representa la acción que permite concretar acuerdos. Representa la capacidad que tiene el hombre para lograr el dominio a través de la persuasión. El número con el que se asocia es el 2, también con la letra B y con el poder de la Luna. Es la representación de la paz que se desarrolla en la naturaleza, junto con la alegría silvestre, es la armonía en todos sus elementos. Nos muestra en su reflexión, los beneficios que hay, en mantener los ojos jóvenes para poder ver toda la riqueza que nos brinda la naturaleza y el poder que nos ofrece la palabra prudente de un anciano. Como arcano predictivo nos augura ciertos actos que provocarán numerosos arrepentimientos. Algunos emprendimientos se verán retrasados por la falta de decisión y algunas vacilaciones. En algunos momentos nos veremos sumergidos en una profunda incomunicación por lo que será conveniente llevar una vida relacionada con la naturaleza. Surgirán también negocios beneficiosos, emprendimientos en los cuales será necesario luchar arduamente con la clara convicción que finalmente se obtendrán saldos muy provechosos.
</t>
  </si>
  <si>
    <t>30 es la carta que representa el armónico anual</t>
  </si>
  <si>
    <t xml:space="preserve">El Intercambio. 
Representa el acto donde se da la reciprocidad de las cosas que convienen. Es la habilidad que posee el hombre para vivir en sociedad. Se asocia con el número 3, con el planeta Júpiter y con la letra C. Simboliza la expansión de cada individuo a través de la convivencia a nivel comercial. Nos conduce en su reflexión a llevar a cabo cualquier tipo de trabajo con mucho esmero, impidiendo que avaricia nos domine. Este arcano nos anuncia que debemos desarrollar una vida en sociedad, para la que debemos hacer uso de las intercomunicaciones, donde el comercio y el intercambio mismo será imprescindible para concretar nuestras metas. A lo largo de esta vida en sociedad se nos presentarán una gran variedad de posibilidades que debemos aprovechar. Se nos presentarán también algunas altercados e inconvenientes que muchas veces no tendrán resolución. 
</t>
  </si>
  <si>
    <t>31 es la carta que representa el armónico anual</t>
  </si>
  <si>
    <t xml:space="preserve">Los Impedimentos.
Representan los incentivos que nos conducirán a desarrollar la eficiencia propia. Representa la aptitud del hombre para reaccionar ante cada oposición. Este arcano esta asociado con la letra CH, el número 4 y Urano es su planeta. Simboliza el comienzo del saneamiento mediante el cual se logra el progreso. En su reflexión nos enseña a no formular ningún juicio sin antes tener compasión, pero también nos propone no tener compasión sin haber realizado un juicio previo. Nos ofrece con su predicción grandes expectativas, habrá numerosas proposiciones que se cumplirán a mediano o corto plazo. Nos anuncia la obtención de bienes materiales que servirán para la casa. Habrá también ciertas restricciones que nos pondrán a prueba. Surgirán determinadas relaciones con personas que serán inferiores no solo en posición sino también en calidad, las que habrá que dejar de lado ya que no traerán ningún tipo de beneficio para ninguna de las dos partes.
</t>
  </si>
  <si>
    <t>32 es la carta que representa el armónico anual</t>
  </si>
  <si>
    <t xml:space="preserve">La Magnificencia.
Representando la conexión a nivel material. Se relaciona con la capacidad que tiene el hombre para poder comprobar el correcto valer. Se lo asocia con la letra D, con el número 5 y Mercurio es el planeta que le corresponde. Se basa en el alarde como factor principal de un altercado. Con su reflexión nos enseña que no debemos agotar todos los recursos de nuestro corazón, pero también nos enseña a aprovechar y agotar al máximo todos los recursos que nos ofrece nuestra inteligencia. Este arcano nos predice muchos peligros en distintos ámbitos de la vida a causa del abuso de palabrerío, también se vivirán situaciones de enfrentamientos a causa de un constante desborde de ira. Se sufrirán ciertos perjuicios por ostentar con la adquisición de bienes materiales. Los pleitos han de surgir muy a menudo y por causas a veces insignificantes, habrá una gran inclinación por abusar de los lujos lo que ocasionará algunos triunfos a nivel social pero también puede acarrear prejuicios en el mismo ámbito, por exceso de frivolidad. Con personas de igual nivel social surgirán simultáneamente reciprocidades y controversias.
</t>
  </si>
  <si>
    <t>33 es la carta que representa el armónico anual</t>
  </si>
  <si>
    <t xml:space="preserve">La Alianza. 
Representa el acto que conduce a la plena conexión entre pares. Es la aptitud que posee el ser humano para lograr a través de la identidad, la afinidad. Este arcano esta relacionado el número 6, la letra E y Venus es su planeta. Se fundamenta en la realización propia llevada a cabo mediante el uso de la asociación. En su reflexión nos propone la necesidad de alegrarnos con el amor de nuestra juventud pero también nos propone que aún es más necesario contentarse con el amor de nuestra madurez. Nos predice la llegada de nuevas personas con las cuales se realizarán alianzas que serán muy acertadas, también nos anuncia que todos lo pactos que se realicen gozarán de perdurabilidad. Todas las asociaciones que se realicen basadas en la afinidad y no solo en la necesidad económica, serán muy prósperas y esta prosperidad que estará en constante aumento, provocará grandes progresos. Nos enfrentaremos también situaciones imprevistas que serán muy venturosas.
</t>
  </si>
  <si>
    <t>34 es la carta que representa el armónico anual</t>
  </si>
  <si>
    <t xml:space="preserve">La Innovación.
Simboliza el fundamento que permite llegar a la evolución. Representa la aptitud que tiene el hombre para dirigir su propio esfuerzo hacia las metas elegidas. Esta conectado con la letra F, el número 7 y Neptuno es su planeta. Simboliza la propia inspiración como fundamento para guiar todas las actividades y de ese modo, lograr el progreso. En su reflexión nos propone constancia para lograr atravesar largos días en los cuales se podrá desarrollar tanto el trabajo como la honestidad. Es su predicción, nos asegura la oportunidad de llevar a cabo buenas invenciones, tendremos la posibilidad de desarrollar nuevos emprendimiento que traerán grandes éxitos. En el camino surgirán numerosas tentaciones que se deberán sortear para no perder el rumbo. Será necesario mantener la firmeza y el optimismo en cada empresa que se siga ya que estaremos expuestos a ciertos temores que en algún momento se posesionarán de nosotros. Nuestro camino estará sembrado de hallazgos, de los cuales algunos serán afortunados y otros nos desconcertarán.
</t>
  </si>
  <si>
    <t>35 es la carta que representa el armónico anual</t>
  </si>
  <si>
    <t xml:space="preserve">El desconsuelo.
Representa todo suceso que conduce consternación moral. Simboliza la aptitud que posee el hombre para que a través de su amargura pueda realizar una tarea purificadora. Este arcano esta asociado con la letra G, el número 8 y su planeta es Saturno. Esta representando el pleno conocimiento de la insuficiencia propia. En su reflexión nos muestra que después del hoy se suceden hechos del pasado y en el presente se muestran las consecuencias de todo lo acaecido anteriormente. Este arcano nos predice que deberemos pasar por determinadas situaciones alarmantes, en esas situaciones se vivirán momentos en los que predominará la amargura y también la melancolía. Habrá sucesos y personas que nos provocarán grandes tristezas, que nos enseñarán a valorar cada vez más las pequeñas cosas de la vida. En nuestro camino encontraremos también algunos obstáculos que entorpecerán nuestros logros. Los hechos inesperados serán muy comunes a lo largo de nuestra vida, solo será necesario sobrellevarlos y tratar de canalizarlos hacia objetivos positivos.
</t>
  </si>
  <si>
    <t>36 es la carta que representa el armónico anual</t>
  </si>
  <si>
    <t xml:space="preserve">La Iniciación.
Representa el episodio que conduce a la revivificación. Simboliza la aptitud que tiene el hombre para llevar a cabo la constante renovación de los poderes. Esta carta se relaciona con el número 9, la letra H y Marte es su planeta. En este se representa el desdoblamiento de todas las aptitudes individuales. En su reflexión nos propone agudizar nuestra atención para poder escuchar todos los sonidos que existen y que servirán para la constante renovación. Este arcano nos augura la llegada de una nueva vida, a corto plazo disfrutaremos de numerosos nacimientos. Habrá en nuestro camino numerosas primicias y se emprenderán nuevos comienzos. Nos anuncia la proximidad de la fortuna que vendrá de la mano de grandes negocios, y se llevarán a cabo emprendimientos muy exitosos que habían sido postergados tiempo atrás. Nos augura algunas inclinaciones y desórdenes que se deberán sobrellevar con mucho cuidado para lograr concretar nuestras metas.
</t>
  </si>
  <si>
    <t>37 es la carta que representa el armónico anual</t>
  </si>
  <si>
    <t xml:space="preserve">El Arte y La Ciencia.
Ambos sirven como elementos para conseguir la evolución personal. Representa la aptitud del ser humano para mantener la autodisciplina como elemento fundamental para lograr progresar. Se relaciona con el número 1, de la letra I y el Sol es su planeta. Es la aplicación de todo nuestro conocimiento para dar origen a la creación. En su reflexión nos muestra la oportunidad de ofrecimiento, que se presenta ante nosotros y la necesidad de ponernos en marcha de forma inmediata para lograr acceder a ella. Nos augura la llegada de personas que aún siendo desconocidas se convertirán en amigos leales, estaremos expuestos a recibir grandes ayudas. Nos promete una vida íntegra, en la que primará la imparcialidad en todos los actos. Será necesaria la utilización de recursos inteligentes para llevar a cabo nuestros emprendimientos, porque en el camino habrá también grandes exigencias y ciertas tendencias inmorales que se deberán desechar. Se logrará acceder a la notoriedad, aunque no todo será satisfactorio.
</t>
  </si>
  <si>
    <t>38 es la carta que representa el armónico anual</t>
  </si>
  <si>
    <t xml:space="preserve">La Duplicidad. 
Es el acto representando la agudeza. Representa la capacidad que tiene el hombre para adquirir el conocimiento voluntariamente estimulado. La J es la letra con la que se relaciona, y el número es el 2. Su planeta es la Luna. Se basa en el origen de los opuestos que son utilizados para la selección y para la comparación. Nos sentencia que a pesar de ser muy virtuosos, esto no basta para que todos los otros vean en las obras, esa virtud. Como arcano de predicción nos promete que las mujeres cumplirán un papel muy importante, ya que ellas serán capaces de influenciar en los propios asuntos. También nos dice que habrá algunas torpezas que obstaculizarán nuestros objetivos, pero también nos ofrece toda la sabiduría a la hora de querer solucionar todas las trabas que impiden los éxitos. Se presentarán contradicciones como el desenfreno y el recato, la inmoralidad frente a la moralidad, la perversión y la virtud.
</t>
  </si>
  <si>
    <t>39 es la carta que representa el armónico anual</t>
  </si>
  <si>
    <t xml:space="preserve">El Testimonio. 
Es acto donde la evidencia es totalmente indiscutible. Representa la aptitud que posee el hombre para hacer la constatación a través de las pruebas. Este arcano se encuentra asociado a la letra K, al número 1 y al planeta Júpiter. Nos indica que la convicción esta basada en la utilización del principio fundamental de la demostración. Nos propone en su reflexión, que es necesario poner todas nuestras intenciones para que expresen lo que verdaderamente somos, pero es importante poner en evidencia todas nuestras obras para que éstas sirvan de testimonio a los demás. Nos ofrece como elemento de predicción la conformidad para poder sobrellevar los sucesos negativos que puedan presentarse. Surgirán aproximaciones anheladas desde hace tiempo, tendremos la oportunidad de realizar comparaciones para optar por lo mejor. Llegarán invitaciones inesperadas y viajes que resultarán muy productivos. El matrimonio llegará con cierto retraso, y surgirán algunos temores por adulterio, que pueden ser reales o presuntos. Se producirán algunas llegadas previstas y otras que serán imprevistas.
</t>
  </si>
  <si>
    <t>40 es la carta que representa el armónico anual</t>
  </si>
  <si>
    <t xml:space="preserve">El Presentimiento. 
Como acto instintivo de conocimiento. Representa las habilidades del hombre de conocer de modo anticipado lo que puede llegar a suceder. Se lo relaciona directamente con la letra I, con el número 4 y con el planeta Urano. Simboliza la capacidad que posee el hombre de vaticinar, como una habilidad natural. En su reflexión nos propone que los hombres no deberán mantener los ojos abiertos solo para la codicia, así como las mujeres no solo deberán tener los oídos abiertos a la adulación. Nos predice que los trabajos serán muy bien remunerados siempre que se aplique todo nuestro conocimiento, nos muestra lo imprescindible de la reflexión antes de la realización de cualquier acto. Se contará con la simpatía, la atracción y la seducción necesaria para llevar a cabo con éxito los emprendimientos, pero será necesario ser precavidos ya que también se darán sucesos contradictorios, y la amenaza de ruina estará latente.
</t>
  </si>
  <si>
    <t>41 es la carta que representa el armónico anual</t>
  </si>
  <si>
    <t xml:space="preserve">El Desasosiego. 
Es la representación de la impaciencia de la voluntad. Representa la constante búsqueda del ser humano por conseguir lo mejor. Se asocia con la letra Ll, con el número 6 y se identifica con el planeta Mercurio. Simboliza el mismo fundamento que da lugar a la existencia ciudadana. Nos infiere a través de su reflexión que a pesar de ciertas quebraduras y obstáculos siempre hay algo que sirve de sustento a la vida. Nos augura que se presentarán situaciones violentas a causa de una excesiva irritación. Las personas estarán en constante movimiento, gente conocida que se aleja y nuevas amistades que aparecen, esto será causa de algunas complicaciones, ya que algún grupo de ellas puede ocasionarnos ciertas molestias. Aparecerán en nuestro presente amores de juventud que nos traerán ciertos desvelos. Surgirán muchas situaciones en la que se vivirán alegrías contrariadas.
</t>
  </si>
  <si>
    <t>42 es la carta que representa el armónico anual</t>
  </si>
  <si>
    <t xml:space="preserve">La Preeminencia. 
Simboliza el acto de reconocer la supremacía. Representa la aptitud que posee el hombre para aceptar el orden jerárquico de las cosas. Este arcano está asociado con la M, con el número 6 y su planeta es Venus. Simboliza el origen de poder y la voluntaria obediencia para concretar los objetivos. Nos sugiere en su reflexión, que es necesario tener dignidad en todo lo que se emprenda, pero también se debe ser primero en poder y primordial en los méritos para obtener éxitos genuinos. Nos ofrece como augurio que se obtendrán numerosas ventajas si se mantienen los preceptos fundamentales de este arcano. Los triunfos se harán evidentes a mediano plazo, la dignidad y la superioridad servirán de base para desarrollarse en cualquier ámbito de la vida. Las relaciones están fundamentadas en la sinceridad reciproca. Se vivirán amores impensados que lograrán sorprendernos por su grandeza y su lealtad.
</t>
  </si>
  <si>
    <t>43 es la carta que representa el armónico anual</t>
  </si>
  <si>
    <t xml:space="preserve">La Alucinación.
Simboliza el júbilo en el entusiasmo. Representa la habilidad que tiene el hombre de expresar claramente su alegría. Se relaciona con la letra N, con el número 7 y su planeta es Neptuno. Muestra el origen en la creación de las ideas que son provocadas. Nos demuestra en su reflexión, que nuestro rostro se embellece cuando dejamos que la alegría inunde nuestro corazón. Nos vaticina grandes satisfacciones en cualquier ámbito de la vida, se vivirán momentos cargados de alegrías. Se recibirán reconocimientos de pares por actos de modestia. Nos enfrentaremos a situaciones que nos provocarán cierto pudor. Momentos donde se disfrutará de fiestas y divertimentos. Habrá disposiciones satisfactorias. Se desarrollarán pasiones violentas, por lo que se concretarán divorcios, aparecerán amores prohibidos que romperán con la calma reinante. También habrá prosperidad en los negocios.
</t>
  </si>
  <si>
    <t>44 es la carta que representa el armónico anual</t>
  </si>
  <si>
    <t xml:space="preserve">El Pensamiento.
Se fundamenta en el acto primordial de crear. Representa la capacidad que posee el hombre de darle forma sensible a las cosas intangibles. Se asocia con la letra Ñ, con el número 8 y su planeta es Saturno. Es el comienzo de la edificación personal. Su reflexión nos conduce a intensificar con sabiduría las desconfianzas y a gozar plenamente de lo que es nuestro, en expectativa. Este arcano nos predice la llegada de buenos proyectos, el surgimiento de situaciones donde será necesario hacer uso del debate para llegar a resoluciones, la concreción positiva de todos los actos realizados con firmeza. En las relaciones personales y comerciales reinará la comprensión mutua. Todo lo que se desea tiene posibilidades de cumplirse a través de personas del sexo opuesto, pero esto se hará realidad después de haber atravesado por luchas difíciles.
</t>
  </si>
  <si>
    <t>45 es la carta que representa el armónico anual</t>
  </si>
  <si>
    <t xml:space="preserve">La Regeneración. 
Se fundamenta en el acto de la repetición constante. Representa la habilidad que posee el hombre para poder recordar lo que pasó y predecir lo que ocurrirá en el futuro. Se identifica con la letra O, con el planeta Marte y con el número 9. Simboliza el cimiento que permite memorizar todos los hechos del pasado y también visualizar el futuro. Nos demuestra en su reflexión que en su tiempo, cada cosa es hermosa y se hace más gustosa cuando se logran incorporar los ingredientes justos. Nos augura como carta de predicción el renacimiento espiritual, el rejuvenecimiento del físico. Ofrece una reconsideración de todo lo que ha pasado y otorga algunas primicias de lo que puede llegar a venir. A lo largo de cada situación que se enfrenten se darán componentes opuestos, como energía y flaqueza, habrá algo que pertenece a la niñez y algo perteneciente a la madurez. La presencia de algunos parientes tendrá influencia directa sobre los temas amorosos. Se sufrirán rompimientos que darán lugar a nuevas relaciones, también habrá abandonos que serán remplazados por nuevas personas.
</t>
  </si>
  <si>
    <t>46 es la carta que representa el armónico anual</t>
  </si>
  <si>
    <t xml:space="preserve">El Patrimonio. 
Representa la conservación. Simboliza las posesiones que adquiere el hombre por herencia. Se lo relaciona con el número 1, la letra P y es el Sol su planeta. Es el fundamento que da continuación a todo lo natural. Nos muestra en su reflexión, que todo aquel que se contenta con poco tiene la posibilidad de abrir las puertas a lo grande. En su acto de predicción nos promete herencias que provendrán de parte de amigos y herencias provenientes del derecho propio. La llegada a nuestras manos de bienes materiales producto de donaciones y testamentos. También se obtendrán herencias de antepasados que no serán económicas, nos dejarán sus tradiciones junto con la familia como patrimonio fundamental. Nos augura un matrimonio donde la afinidad será la base de su perdurabilidad. La aparición de una mujer traerá peligros para un hombre, y la llegada de un hombre peligrosamente seductor, ocasionará conflictos a una mujer. 
</t>
  </si>
  <si>
    <t>47 es la carta que representa el armónico anual</t>
  </si>
  <si>
    <t xml:space="preserve">La Conjetura. 
Como fundamento para el conocimiento. Representa la habilidad del hombre de adquirir el conocimiento a través de la inspiración propia. Se asocia con la letra Q, con el número 2 y con la Luna. Simboliza el principio de la deducción como base principal para llegar a la iluminación. Nos muestra en su reflexión, que la misión del hombre, tanto en el presente como en el futuro, es la de mostrar correspondencia con todos los actos. Como carta de predicción nos promete nuevas iluminaciones para realizar proyectos y nuevas enseñanzas para concretarlos. Muestra al espíritu desconsolado frente a situaciones imprevistas, pero determina la madurez que traerá nuevas esperanzas. Se vivirán momentos donde las penas y las alegrías estarán muy próximas y se darán en igual medida. Se contará con la presencia de parientes que ofrecerán su apoyo incondicional. En el ámbito afectivo, los amores serán perdurables y también honestos.  
</t>
  </si>
  <si>
    <t>48 es la carta que representa el armónico anual</t>
  </si>
  <si>
    <t xml:space="preserve">La Consumación. 
Simboliza la plenitud como acto primordial. Representa la capacidad que tiene el hombre para utilizar el auto-convencimiento. Se lo relaciona con la letra R, con el número 3 y su planeta es Júpiter. Simboliza la determinación como principio fundamental de la conducta. Muestra en su reflexión la posibilidad de decidir entre el aprovechamiento gradual de lo que tenemos en reserva o el aprovechamiento de todos los conocimiento generales. Este arcano nos augura la posibilidad de concretar nuestros objetivos, los logros en general serán muy positivos. Todas las actividades que se emprendan estarán bien orientadas si se realiza un buen aprovechamiento de la ciencia. Todos los trabajos pendientes podrán ser concluidos y se obtendrán de ellos grandes triunfos. En el terreno sentimental se presentarán hechos irremediables, como amores inalcanzables.
</t>
  </si>
  <si>
    <t>49 es la carta que representa el armónico anual</t>
  </si>
  <si>
    <t xml:space="preserve">La Versatilidad.
Es la representación de los procesos de intercambio. Simboliza la habilidad del hombre de buscar la relación en todos los hechos semejantes. Se asocia con el número 4, con la letra S y su planeta es Urano. Se basa en el principio de intercambio como fundamento esencial para lograr prosperar. Nos enseña mediante su reflexión, que todo trabajo que se realice con alegría resultará gratificante y aquel que se lo merezca tendrá también, un agradable descanso. Este arcano nos augura innovaciones que ayudarán a cambiar el rumbo de nuestra vida. En algún momento se realizarán mudanzas que determinarán cambios en todos los ámbitos. Aparecerán afectos nuevos, amores renovados. Las relaciones y las obligaciones estarán marcadas por la rivalidad. Surgirán ciertos acontecimientos que traerán buenaventura y otros que traerán algunos conflictos que serán subsanados en poco tiempo. 
</t>
  </si>
  <si>
    <t>50 es la carta que representa el armónico anual</t>
  </si>
  <si>
    <t xml:space="preserve">La Afinidad. 
Representa el acto eficiente para despertar todas las emociones. Es la habilidad que posee el hombre para desarrollar su atractivo particular. Se lo asocia a la letra T, al número 5 y su planeta es Mercurio. Se basa en el estímulo como fundamento primordial para conseguir la fuerza que es artífice de las acciones. Nos muestra en su reflexión, la importancia y la afinidad que tienen tanto el hombre como la mujer en cada hecho o acción que estén realizando. Como arcano de predicción nos augura ilusiones, relaciones pasajeras con las que se vivirán grandes pasiones, amores profundos y grandes apetitos sexuales. Los firmes deseos permitirán llevar a cabo todos los objetivos superando todos los obstáculos que pueden presentarse. Se conocerán nuevas personas que provocarán ciertos deslumbramientos y pueden conducirnos a cometer algunas imprudencias que pondrán en riesgo todas nuestras metas. Se deberá prestar mucha atención, pues en el camino aparecerán peligros desconocidos.
</t>
  </si>
  <si>
    <t>51 es la carta que representa el armónico anual</t>
  </si>
  <si>
    <t xml:space="preserve">El Asesoramiento.
Simboliza la acción de aconsejar prudentemente. Representa la aptitud que posee el hombre para honrar el saber y hacerse responsable de todo lo que sabe. Se lo asocia con la letra U, el número 6 y el planeta Venus. Su acción se fundamenta en respetar el orden ya establecido. Nos indica en su reflexión, que el consejo del sabio es valioso pero, es más valiosa aún la palabra de quien busca y sigue el consejo. Como arcano de predicción nos propone buen juicio para solucionar los conflictos y algunos temas judiciales que pueden presentarse. Nos muestra que surgirán relaciones con determinadas personas que poseen autoridad, entre los que pueden surgir poderosos enemigos. Habrá éxitos, si se eligen carreras relacionadas con la magistratura o relacionada con las armas. Pueden presentarse personas y situaciones engañosas.
</t>
  </si>
  <si>
    <t>52 es la carta que representa el armónico anual</t>
  </si>
  <si>
    <t xml:space="preserve">La Premeditación.
Representa la acción basada en el cálculo. Simboliza la habilidad del ser humano para premeditar los resultados que se ansían. Se lo asocia con el número 7, con la letra V y con el planeta Neptuno. Es el fundamento de la estimación de los elementos. Nos aconseja, que es necesario poner en todas nuestras palabras, nuestro corazón pero no debemos poner en el corazón todas nuestras palabras. Este arcano nos pronostica que atravesaremos situaciones engañosas donde se harán presente aparentes refinamientos. Se conocerán personas que fingirán amistad pero en corto plazo demostrarán sus maldades. Las privaciones que debemos afrontar provocarán cierto agotamiento que impedirá vislumbrar un futuro promisorio. En algunas relaciones surgirán resentimientos, como consecuencia de estos rencores y odios surgirán fuertes luchas.
</t>
  </si>
  <si>
    <t>53 es la carta que representa el armónico anual</t>
  </si>
  <si>
    <t xml:space="preserve">El Resentimiento. 
Es lo que representa la voluntad ofendida. Simboliza la actitud del hombre que actúa en su propia defensa. Se lo asocia a la letra X, al número 8 y su planeta es Saturno. Es la representación del principio de la venganza. Nos conduce mediante su reflexión a reparar las situaciones conflictivas y no hacer uso de la venganza en ningún aspecto de la vida. Como arcano de predicción nos anuncia que habrá episodios de ira descontrolada que provocará la inestabilidad de relaciones afectivas y comerciales. La falta de capacidad en algunas actividades resentirán los ánimos. Habrá situaciones complicadas por la falta de reflexión, donde se pueden hacer presentes las agresiones y los reproches. Algunas personas perjudicarán con su habladuría y otras nos brindarán su protección. Con algunas personas de poder surgirán numerosos altercados. Atención, porque habrá peligros a causa del fuego.
</t>
  </si>
  <si>
    <t>54 es la carta que representa el armónico anual</t>
  </si>
  <si>
    <t xml:space="preserve">EL Examen. 
Representa el debate que conduce a la resolución. Simboliza la capacidad que tiene el hombre de obrar con justicia. Está relacionado con la letra Y, el número 9 y su planeta es Marte. Es representación de la deliberación totalmente libre. Nos ofrece con su reflexión, la posibilidad de investigación, y de recoger todas las cosas buenas de la vida, también nos enseña que no debemos juntar rencores, ni injurias. Este arcano de predicción ofrece la observación necesaria para llevar a cabo los objetivos. Las investigaciones previas ayudarán a obtener resultados positivos. Las especulaciones llevarán a acusación falsas, los engaños estarán presentes y se descubrirán entre los amigos grandes enemigos que estaban ocultos, que se encargarán de hacernos pasar malos momentos, ya que harán uso de difamaciones para lograrlo.
</t>
  </si>
  <si>
    <t>55 es la carta que representa el armónico anual</t>
  </si>
  <si>
    <t xml:space="preserve">La Contrición. 
Simboliza el acto de arrepentirse. Representa la aptitud que tiene el hombre de lograr reconocer su propia equivocación. Se lo relaciona con la letra A, el número 1 y su planeta es Plutón. Simboliza la voluntad que posee el hombre para reparar situaciones. Nos enseña en su reflexión, a no incorporar enredos en nuestra vida y menos aún guardarlos en nuestro corazón. Nos promete en su predicción, grandes pesares por los errores cometidos, los desconsuelos en el ánimo serán recurrentes y provocarán paralizaciones en los emprendimientos. Habrá amarguras que deberán ser controladas para no caer en depresiones. Se producirán ciertas ganancias que no serán satisfactorias. Algunas actividades nos permitirán obtener determinados bienes materiales, pero esto nos ocasionará algunos sufrimientos a nivel de la moral.
</t>
  </si>
  <si>
    <t>56 es la carta que representa el armónico anual</t>
  </si>
  <si>
    <t xml:space="preserve">El Peregrinaje. 
Es tomado como fundamento para purificar nuestro interior. Representa el desconsuelo durante el camino del hombre. Se lo asocia con la letra B, con el número 2 y con la Luna. Es el cimiento de la redención personal. Nos enseña en su reflexión a alentar y a reconfortar a los afligidos, y nos induce a sostenernos optimistas ante los sinsabores que se nos presentan en la vida. Nos augura una larga etapa de soltería, será necesario luchar para lograr vencer la timidez. Surgirán cosas que estarán relacionadas con santuarios o con determinadas personas que prestan su asistencia. Habrá grandes pesares antes de acceder al éxito, en el camino hacia nuestras metas surgirán misteriosos peligros. Tendremos la posibilidad de pertenecer a un círculo de personas de poder, donde surgirán algunas enemistades.
</t>
  </si>
  <si>
    <t>57 es la carta que representa el armónico anual</t>
  </si>
  <si>
    <t xml:space="preserve">La Rivalidad. 
Es el acto de mostrar la competencia entre situaciones contradictorias. Representa la habilidad que posee el hombre para realizar la evaluación personal. Se lo relaciona con el número 3, la letra C y su planeta es Júpiter. Ofrece la destreza como valor primordial. Nos enseña mediante su reflexión, que el justo tiene riesgos de caer muchas veces pero si realmente se es justo, se podrá levantar tantas veces como haya caído. Este arcano augura situaciones un poco delicadas, situaciones que más de una vez se tornarán críticas, surgirán contradicciones entre socios y también en relaciones afectivas, habrá unificación de sucesos, se recibirá la desaprobación de pares y amigos, las deliberaciones serán una constante. Representa todo lo que es inevitable en la vida, es el mismo destino cumpliéndose.
</t>
  </si>
  <si>
    <t>58 es la carta que representa el armónico anual</t>
  </si>
  <si>
    <t xml:space="preserve">La Recapacitación. 
Es la acción de reconsiderar todos los hechos y sucesos. Es la capacidad que tiene el hombre de evaluar en forma constate todos los hechos contradictorios. Se lo asocia con la letra Ch, el número 4 y su planeta es Urano. Nos demuestra que el fundamento de la conjetura esta basada en el examen. Nos conduce en su reflexión, a consultar a nuestro corazón en cada situación en la que alguien de nuestro entorno sea capaz de crear una confusión. Nos augura ciertos peligros en nuestra vida por lo que deberemos estar alertas, contaremos con la aptitud necesaria para realizar las observaciones en el momento justo. Habrá reproches sin merecimiento por parte de personas muy allegadas. También habrá pérdidas de poder, anhelos de realizaciones y además esperanzas malogradas. Ofrece el valor necesario para enfrentar todo tipo de sufrimiento.
</t>
  </si>
  <si>
    <t>59 es la carta que representa el armónico anual</t>
  </si>
  <si>
    <t xml:space="preserve">La Revelación.
Simboliza la acción de declarar todo lo que se encuentra oculto. Representa la habilidad del hombre para hacer perceptible todo lo que no se percibía. Se lo asocia con la letra D, con el número 5 y al planeta Mercurio. Nos muestra mediante su reflexión que los méritos de los hombres se comprueban a través de quienes hablan o censuran, al igual que los metales son probados en el fuego. Este arcano nos predice afirmaciones y autorizaciones. Los mensajes y los mensajeros serán parte de nuestra vida, en ellos habrá noticias diversas y algunas contradictorias. Surgirán viajes y no faltarán situaciones en las que se deban afrontar adversidades y algunas charlatanerías, los secretos más guardados serán sacados a la luz a través de personas que integran nuestro círculo de amistades.
</t>
  </si>
  <si>
    <t>60 es la carta que representa el armónico anual</t>
  </si>
  <si>
    <t xml:space="preserve">La Evolución. 
Es el acto en el que se produce la transformación. Simboliza la habilidad que posee el hombre de lograr despertar constantemente la conciencia. Se lo asocia a la letra E, al número 6 y al planeta Venus. Simboliza el principio de la transformación de todas las cosas. Nos enseña a través de su reflexión, que para que todo se pueda transformar y pueda desarrollarse plenamente es necesario, no solo sembrar constantemente sino también cuidar todo de la misma manera. Nos augura que tendremos que sufrir algunas pérdidas para poder obtener posteriormente ganancias. Nuestra fortuna sufrirá ciertos azotes, que serán superados constantemente. Las ideas prefijadas pueden acarrear la ruina, por lo que será necesario estar predispuestas a cambiarlas para lograr desarrollarse. Sucederán ciertos cambios que resultarán adversos y hechos muy dolorosos, como pérdida de seres queridos. 
</t>
  </si>
  <si>
    <t>61 es la carta que representa el armónico anual</t>
  </si>
  <si>
    <t xml:space="preserve">La soledad. 
Representa la acción en la se concentra la propia la voluntad. Es la actitud del ser humano de contemplar el propio interior. Se lo asocia con la letra F, el número 7 y el planeta Neptuno. Se fundamenta en el aislamiento propiamente dicho. Nos enseña mediante su reflexión a concientizarnos que se debe pagar todo aquello que se deba, cumpliendo la premisa de que al que contribuye, se debe contribuir, que al que honra hay que honrar. Como arcano predictivo nos anuncia ciertas reservas. Cautela, que a veces puede ser tan excesiva que nos puede conducir a la incomunicación. Habrá momentos en los que la incapacidad nos paralizará, por lo que nos ofrece la capacidad de ahorro para lograr sobrellevarlos. La buena conducta será determinante para lograr los éxitos que se persiguen. Hay tendencia al aislamiento de la vida social, este aislamiento puede se de modo voluntario o obligado.
</t>
  </si>
  <si>
    <t>62 es la carta que representa el armónico anual</t>
  </si>
  <si>
    <t xml:space="preserve">La proscripción.
Representa el hecho de la dispersión. Simboliza la habilidad del hombre para lograr contrarrestar y ahuyentar lo que puede ser perjudicial. Se lo relaciona con la letra G, con el número 8 y su planeta es Saturno. Es símbolo de la disconformidad. Nos enseña mediante su reflexión que aquel que es capaz de guardar sus palabras logrará guardar su alma. Este arcano nos augura relaciones donde serán constantes las discusiones, que en algunos casos podrán solucionarse pero en otros llegarán a rompimientos definitivos. Surgirán grandes contradicciones que conducirán a alejamientos permanentes y se cosecharán numerosas antipatías. Algunas tareas dificultosas distraerán nuestra atención. Nos predice un camino plagado de tentaciones que deberemos aprender a desechar.
</t>
  </si>
  <si>
    <t>63 es la carta que representa el armónico anual</t>
  </si>
  <si>
    <t xml:space="preserve">La Comunión.
Representa el acto por el cual se establece la colaboración y la identidad. Simboliza la actitud del hombre basada en el hecho de compartir. Se lo asocia a la letra H, el número 9 y su planeta es Marte. Simboliza el fundamento de la misma unificación en la multiplicidad de las cosas. Nos enseña en su reflexión, que debemos darles las herramientas a todo aquel que no cuenta con ellas y tiene ganas de construir para crecer, ofrece los consejos para el que quiere actuar y no sabe como. En su predicción nos promete numerosos afectos, habrá correspondencias en las relaciones, las que estarán cargadas de ternura e intimidad. La afinidad se dará tanto en las relaciones de amistad como en las relaciones comerciales. Nos ofrece la mutua protección ante ataques de terceros. Habrá uniones para luchar por grandes ideales.
</t>
  </si>
  <si>
    <t>64 es la carta que representa el armónico anual</t>
  </si>
  <si>
    <t xml:space="preserve">La Vehemencia.
Simboliza la misma exaltación del propio ánimo. Representa la capacidad del ser humano para desarrollar el ardiente deseo. Está relacionado con la letra A, el número 1 y su planeta es el Sol. Es símbolo del fuego interior como principio fundamental. Nos demuestra a través de su reflexión, que la sabiduría es lo que nos ofrece fortaleza y el deseo que la mueva, es la propia fuerza. Nos ofrece como Arcano de predicción la vivencia de pasiones exageras. Surgirán constantes transformaciones en el estado de ánimo, donde serán notorios los estados de ira descontrolada. La tendencia a la antipatía provocará el alejamiento de personas que han integrado, por mucho tiempo, nuestro círculo de amistades. Se deberán emprender distintas luchas para lograr concretar los emprendimientos. Nos ofrece el desarrollo de la fuerza para efectivizar las conquistas, los asuntos amorosos se lograr llevar a cabo con gran éxito.
</t>
  </si>
  <si>
    <t>65 es la carta que representa el armónico anual</t>
  </si>
  <si>
    <t xml:space="preserve">El Aprendizaje. 
Simboliza el acto donde se involucran la enseñanza y la precaución. Representa la aptitud del hombre de adquirir la sabiduría a través de la experiencia. Se lo asocia con la letra J, con el número 2 y con la Luna. Es el fundamento de la disciplina propia. Nos muestra con su reflexión, que todo aquel que es capaz de añadir ciencia día tras día a su vida, también añadirá con ella el bienestar. Como arcano de predicción nos augura grandes posibilidades de adquirir enseñanzas a nivel interno y también a nivel externo, se mostrarán defectos y en contraposición grandes virtudes. Habrá en cualquier aspecto de la vida ascensos importantes acompañados de descensos no menos importantes. Aparecerá una persona de mayor edad y de mejor posición social y económica, que brindará protección y amparo. En un futuro cercano, más de lo que uno puede creer, habrá mayor dicha, aunque el presente que se está viviendo no pareciera demostrarlo.
</t>
  </si>
  <si>
    <t>66 es la carta que representa el armónico anual</t>
  </si>
  <si>
    <t xml:space="preserve">La Perplejidad. 
Simboliza la acción en la que se involucra la indecisión a la hora de tener que preferir algo. Representa la habilidad del ser humano para desarrollar el acto de selección. Se lo asocia con la letra K, con el número 3 y con el planeta Júpiter. Simboliza el principio básico, a través del cual se puede realizar una apreciación justa de cada una de las decisiones que se tomen en la vida. Nos enseña en su reflexión que es beneficioso dejar madurar las cosas para tomar decisiones, antes que desecharlas por no tomarse el tiempo de valorar cada una de las situaciones. Este arcano nos augura momentos donde se acrecentarán las indecisiones en cualquier aspecto de nuestra vida, algunos asuntos o temas quedarán en suspenso por un tiempo determinado. Algunas protecciones que se recibirán estarán siempre, condicionadas por algo o por alguien. Contaremos con el apoyo de personas influyentes. Si bien surgirán ciertas inseguridades en algunas cosas, otras estarán signadas por la seguridad, pero en ambos casos siempre estará presente la esperanza.
</t>
  </si>
  <si>
    <t>67 es la carta que representa el armónico anual</t>
  </si>
  <si>
    <t xml:space="preserve">La Amistad. 
Representa la tendencia relacionada con el afecto, marcando por la devoción. Simboliza la aptitud que posee el ser humano de desarrollar la veneración por los demás. Se lo asocia a la letra L, al número 4 y al planeta Urano. Simboliza todo aquello que esta basado en el amor puro. Nos muestra mediante su reflexión la importancia de tener siempre la mano tendida para poder dar, y el paso firme para lograr cumplir con todos los cometidos. Nos ofrece la predisposición para estar con los otros en las buenas y en las malas. Nos augura la obtención de buenas ganancias producto de los deberes asumidos y cumplidos. El desarrollo de un estado de ánimo en calma. Contaremos con la presencia de gente que no se esperaba. Habrá obstáculos en el camino, pero se tendrá la capacidad de poder superarlos y salir triunfantes de ello. A lo largo de la vida se encontrarán amistades muy leales, de las cuales se podrán recibir su apoyo. Surgirán afectos incondicionales. 
</t>
  </si>
  <si>
    <t>68 es la carta que representa el armónico anual</t>
  </si>
  <si>
    <t xml:space="preserve">La Especulación. 
Es el acto por medio del cual se pueden apreciar en su medida justa, los valores. Representa la aptitud que posee el hombre de desarrollar el razonamiento. Se lo asocia con la letra Ll, con el número 5 y su planeta es Mercurio. Simboliza el fundamento del trabajo totalmente dirigido. Con su reflexión nos muestra los beneficios que hay en la acción de mirar todo sin ningún tipo de temor, y la de utilizar las manos con amor. Nos ofrece como arcano de predicción la posibilidad de realizar una labor donde la inteligencia tiene un papel muy importante. Tendremos la oportunidad de adquirir conocimientos muy valiosos que serán también, muy beneficiosos a nivel económico. Nuestros bienes materiales se acrecentarán notablemente, así como también aumentará nuestra generosidad. Actos importantes de desinterés signarán nuestra vida y en cuestiones monetarias surgirán noticias muy favorables. Todo nuestros emprendimientos, estarán predispuestos al éxito, ya que se realizarán en base a cálculos muy atinados.
</t>
  </si>
  <si>
    <t>69 es la carta que representa el armónico anual</t>
  </si>
  <si>
    <t xml:space="preserve">El Azar. 
Se basa principalmente en el conocimiento que proporciona el instinto. Representa la habilidad que posee el ser humano de adquirir el conocimiento trascendental. Se lo asocia a la letra M, con el número 6 y su planeta es Venus. Simboliza la importancia de las propias facultades primarias, que nos sirven de guía para poder recorrer el camino de la vida misma. Nos muestra con su reflexión, que todos los trabajos realizados darán su fruto y que éste necesitará de trabajo para lograr mantenerlos y acrecentarlos. Este arcano nos predice grandes retribuciones por los trabajos realizados, habrá buenas compensaciones en cada cosa que se realice, surgirán cambios que serán propicios, pues nos traerán muchas satisfacciones. Nos ofrece oportunidades, mediante las cuales se podrá adquirir una mejor posición. Toda operación relacionada con propiedades inmuebles reportará muy buenas ganancias. Espontáneamente se comenzarán a cumplir nuestros deseos más profundos. Surgirán algunas atracciones de modo accidental.
</t>
  </si>
  <si>
    <t>70 es la carta que representa el armónico anual</t>
  </si>
  <si>
    <t xml:space="preserve">La Cooperación. 
Simboliza el acto de esforzarse, con la plena colaboración de todo nuestro entorno. Representa la habilidad que posee el hombre de saber como complementarse. Se lo asocia a la letra N, al número 7 y su planeta es Neptuno. Se fundamenta en el principio básico del intercambio. Nos muestra con su reflexión, la relación que hay entre el hombre y la ciencia, demostrando que no se puede encontrar ciencia sin hombre y tampoco se puede encontrar un hombre que no tenga ciencia. Nos augura la presencia de afectos sumamente sinceros, el cumplimiento de todas las promesas realizadas. También nos indica que todas las esperanzas que no estén lo suficientemente fundamentadas se desvanecerán. Nos predice que atravesaremos distintos episodios cargados de misterio y pesares por algún fallecimiento. Nos permitirá aprovechar la aplicación de las artes y de las ciencias para lograr el progreso y la prosperidad.
</t>
  </si>
  <si>
    <t>71 es la carta que representa el armónico anual</t>
  </si>
  <si>
    <t xml:space="preserve">La Avaricia. 
Simboliza básicamente las acciones asentadas en el cálculo ambicioso. Representa la necesidad que tiene el hombre de obtener el poder. Esta asociado con la letra Ñ, con el número 8 y con el planeta Saturno. Es símbolo de la misma prevención. Nos brinda con su reflexión, lo egoísta que es la misma codicia, y la cantidad de miseria y sinsabores que ésta puede acarrear. Nos augura situaciones donde estará presente la especulación. Remordimientos a causa de determinados objetivos que estarán fundamentados en el egoísmo. Si bien surgirán grandes esperanzas, estas otorgarán pocos resultados positivos. Estaremos expuestos a situaciones donde el riesgo de robos será permanente. Por la gran tendencia al egoísmo y a la especulación, se corre el riesgo de perder la posición que se ha adquirido y habrá dificultades en mantener el puesto que se esta ocupando.
</t>
  </si>
  <si>
    <t>72 es la carta que representa el armónico anual</t>
  </si>
  <si>
    <t xml:space="preserve">La Purificación.
Representa la acción depuradora. Se relaciona con la habilidad que posee el hombre de auto superarse constantemente. Está asociado con la letra O, con el número 9, y su planeta es Marte. Esta simbolizando el principio de la liberación personal. Nos conduce mediante su reflexión, a escuchar la sabiduría de nuestro padre, y a no desechar la orientación que nos brinda nuestra madre. Nos augura cierto grado de ingenuidad en los actos. Habrá consternación en nuestro ánimo, pero recibiremos la luz necesaria para iluminarlo y avivarlo. Nos promete que a través del esfuerzo hacendoso lograremos obtener muy buenas ganancias. Recibiremos noticias satisfactorias que propiciarán un cambio tanto en el ámbito laboral como en el afectivo. Llevaremos a cabo adquisiciones muy rentables y gratificantes.
</t>
  </si>
  <si>
    <t>73 es la carta que representa el armónico anual</t>
  </si>
  <si>
    <t xml:space="preserve">El Amor y El Deseo.
Representa los incentivos naturales. Simboliza la habilidad que posee el hombre de adquirir todo aquello que le ofrece satisfacción. Se lo asocia con el número 1, con la letra P, y su planeta es el Sol. Simboliza el origen de la ciencia basada en la naturaleza. Nos ofrece en su reflexión, que a través de nuestra propia labor lograremos adquirir grandes beneficios. Nos augura una vida llena de ilusiones, plena de atractivos, en la que también se vivirán pasiones fogosas. Las buenas ambiciones ayudarán al progreso personal. Las esperanzas estarán puestas en personas del sexo opuesto, de cuya voluntad dependerá la adquisición de algunas cosas. Se recibirán bienes que no se esperaban. La interferencia de amigos desleales, harán peligrar algunas adquisiciones.
</t>
  </si>
  <si>
    <t>74 es la carta que representa el armónico anual</t>
  </si>
  <si>
    <t xml:space="preserve">La Ofrenda. 
Representa el acto apropiado. Simboliza la aptitud que posee el hombre para ofrendar todo aquello que es superior. Está relacionado con el número 2, la letra Q y su planeta es la Luna. Se fundamenta en el amor basado en la reverencia. Nos ofrece en su reflexión la posibilidad de consolar nuestro corazón afligido a través de la ofrenda. Nos augura el desarrollo de la devoción, de la adoración y del fervor puesto en cada acto. En las relaciones afectivas se vivirán pasiones muy amorosas. La armonía y la discordia se darán permanentemente en todas las relaciones. Los pensamientos inspirados permitirán concretar muchos proyectos, tanto afectivos como comerciales. Los actos estarán basados en la abundancia. Las iniciativas están cargadas de variabilidad y provocan desórdenes que a veces impedirán algunos logros que podrían ser edificantes.
</t>
  </si>
  <si>
    <t>75 es la carta que representa el armónico anual</t>
  </si>
  <si>
    <t xml:space="preserve">La Generosidad.
Representa la acción desinteresada. Representa la habilidad que posee el hombre de desarrollar el desprendimiento. Esta asociado con la letra R, con el número 3 y con el planeta Júpiter. Simboliza el principio del altruismo. Nos ofrece como reflexión, que todo lo que es grato a los sentidos puede serlo aún más cuando se logra establecer el acto de dar y de recibir. Nos augura etapas de donaciones y regalos. A largo plazo surgirán definiciones en distintos ámbitos que serán muy satisfactorias. Se obtendrán numerosas recompensas por actos desinteresados. Seremos merecedores de herencias que no provendrán de fallecimientos. Serán muy buenos momentos para la adquisición de ganancias, nuestra fortuna se mantendrá estable por mucho tiempo.
</t>
  </si>
  <si>
    <t>76 es la carta que representa el armónico anual</t>
  </si>
  <si>
    <t xml:space="preserve">El Dispensador.
Representa la acción de distribuir benevolencia. Representa la capacidad que tiene el hombre de brindar misericordia. Se lo asocia con la letra S, el número 4 y su planeta es Urano. Simboliza el fundamento de la buena disposición. Nos ofrece mediante su reflexión, la oportunidad de invitar al extraño a compartir nuestro pan y nuestro hogar. Nos augura con su predicción mucha nobleza, donde no faltarán las consideraciones hacia los que nos rodean. Todos los actos estarán cargados de importancia. Los problemas podrán ser resueltos con gran agilidad. Los actos estarán signados por la grandeza. Serán momentos en los que se darán muchos nacimientos. Las empresas serán dirigidas inteligentemente por lo que obtendremos muy buena fortuna. Contaremos con un abundante trabajo y una gran capacidad para darle la utilidad necesaria.
</t>
  </si>
  <si>
    <t>77 es la carta que representa el armónico anual</t>
  </si>
  <si>
    <t xml:space="preserve">La Desorientación. 
Representa el acto de reflexión. Representa la habilidad que posee el hombre para examinar y recapacitar. Representa la letra T, el número 5 y su planeta es Júpiter. Simboliza el principio que da lugar a la asociación de las propias ideas. En su reflexión nos muestra la necesidad de fronteras, que tiene aquel que está dispuesto a caminar y la necesidad de herramientas, que tiene la mano trabajadora. Nos augura situaciones conflictivas y comprometidas. Las ideas se tornarán confusas y habrá incertidumbre a la hora de tomar decisiones. Deberemos enfrentar obstáculos que se presentarán de manera imprevista. Las posibilidades de disfrutar de la buena o de la mala fortuna dependerán del desarrollo de nuestra propia inspiración en oscilará en uno y otro lado.
</t>
  </si>
  <si>
    <t>78 es la carta que representa el armónico anual</t>
  </si>
  <si>
    <t xml:space="preserve">El Renacimiento.
Representa la acción basada en la iniciación. Simboliza la habilidad que posee el hombre de adquirir las continuas elevaciones. Se lo relaciona con la letra U, el número 6 y su planeta es Venus. La natural evolución, es el principio en el cual se fundamenta. Nos ofrece con su reflexión que día tras día es necesario dar gracias por toda nuestra fortuna, sea buena o sea mala. Nos augura nuevas aspiraciones. Todas las relaciones nos brindarán satisfacciones puras. Las actividades en todos los ámbitos nos resultarán placenteras, ya que nos ofrecerán tanto alegrías morales como materiales. La honra y la suerte estarán durante mucho tiempo de nuestro lado.
</t>
  </si>
  <si>
    <t>Cartas del tarot para el primer cuatrimestre</t>
  </si>
  <si>
    <t>La carta del tarot que regirá tu primer cuatrimestre será 1</t>
  </si>
  <si>
    <t xml:space="preserve">El Mago creador.
Tiene la facultad de despertar pasiones y también la facultad de dominarlas. La creación y la moderación es la propuesta en el plano físico. Además otorga la posibilidad de organizar los elementos naturales, con un gran dominio de las fuerzas originales para poder disponer y para poder adquirir, permitiendo así, que a través de las obras se demuestre el tipo de pensamiento. El mago creador nos permite dominar los obstáculos materiales, nos anuncia la llegada de amigos leales que nos ayudarán a desarrollar proyectos y de otros que tal vez, por ser amigos celosos nos puedan obstaculizar esas metas. Muestra el comienzo de nuevas iniciativas y la adquisición de nuevas relaciones sociales.
</t>
  </si>
  <si>
    <t>La carta del tarot que regirá tu primer cuatrimestre será 2</t>
  </si>
  <si>
    <t xml:space="preserve">La Sacerdotisa. 
Permite la comprensión de los sexos, en el terreno físico, el vínculo a través de la química propiciando el intercambio, el comercio mismo. Nos muestra que para todo aquel que sepa caminar por la vida tiene la oportunidad de obtener condiciones favorables. Nos anuncia pérdidas pero también ganancias, las escaladas y los descensos serán una constante en la vida. Ofrece favorables inspiraciones para llevar a cabo con buenos resultados todo lo que se inicie. Surgirán algunas relaciones en la que se manifiesta la repulsión y la atracción, como expresión de esa dualidad permanente. Nos predice un intercambio permanente en el plano físico, mental y espiritual.
</t>
  </si>
  <si>
    <t>La carta del tarot que regirá tu primer cuatrimestre será 3</t>
  </si>
  <si>
    <t xml:space="preserve">La Emperatriz: 
Ayuda a concretar las ideas, a expandirlas y a multiplicarlas. Nos esta mostrando que constantemente se están creando tanto cosas que serán útiles como cosas que tal vez, jamás serán utilizadas. Este arcano nos esta anunciando una gran generación de ideas que favorece la producción, y con ella el aumento de las riquezas en todos los ámbitos, pero fundamentalmente los bienes materiales se verán acrecentados. Nos indica que se presentarán numerosos obstáculos que necesariamente deberemos enfrentar y para ello nos ofrece las oportunidades y la fuerza para lograr vencerlos. Promete disfrutar de grandes satisfacciones, en la medida que se vayan venciendo todos los obstáculos.
</t>
  </si>
  <si>
    <t>La carta del tarot que regirá tu primer cuatrimestre será 4</t>
  </si>
  <si>
    <t xml:space="preserve">El Emperador. 
Nos determina que solo será necesario poner el corazón en nuestro pensamiento para que la bendición caiga sobre todo trabajo realizado con las manos. Nos predice grandes logros económicos, con muy buenas bases para grandes emprendimientos. No será fácil lograr las metas, pues habrá condiciones penosas en el camino, pero todo el esfuerzo que se invierta para lograr sus propósitos dará muy buenos resultados. Habrá ayuda por parte de los amigos, pero también las amistades representarán algún tipo de obstáculos. En un mismo momento la suerte se presentará a favor y en contra.
</t>
  </si>
  <si>
    <t>La carta del tarot que regirá tu primer cuatrimestre será 5</t>
  </si>
  <si>
    <t xml:space="preserve">El Jerarca. 
Es la apertura de los ojos para lograr ver, y del corazón para sentir. Pronostica experiencias nuevas donde habrá restricciones, y también promete libertad. Propiciará grandes enseñanzas que serán muy fructíferas. En el plano afectivo habrá buenos amores y también amoríos. Será un constante ir y venir de cosas, los hechos y las cosas que se van en determinado momento regresarán y las que vienen se irán también. Se sentirá la presencia de buenos amigos y aparecerán amigos que ocasionarán conflictos graves. La posibilidad de viajes estará latente, pero algunos no serán muy beneficiosos.
</t>
  </si>
  <si>
    <t>La carta del tarot que regirá tu primer cuatrimestre será 6</t>
  </si>
  <si>
    <t xml:space="preserve">La Indecisión: 
Es la vacilación entre mantener la abstinencia o entregarse al desenfreno. Es optar entre la necesidad y la libertad, es elegir entre el celibato o la vida conyugal, entre gozar de los placeres mundanos y obtenerse de disfrutar descontroladamente. Su principio esencial es fortalecernos con los trabajos que nos ofrecen las fuerzas celestiales. En las relaciones entre los sexos nos brinda privilegios pero también nos muestras los deberes a cumplir. Nos augura la contraposición de fuerzas, habrá separaciones y divorcios. Los más profundos deseos pueden ser cumplidos, algunos de ellos serán satisfactorios, con otros nos sentiremos defraudados. Nos ofrece la posibilidad de conseguir todo aquellos que se persiga.
</t>
  </si>
  <si>
    <t>La carta del tarot que regirá tu primer cuatrimestre será 7</t>
  </si>
  <si>
    <t xml:space="preserve">El Triunfo. 
Nos esta diciendo que para que consigamos todo lo que pedimos deberemos cargar nuestra alma de sabiduría y nuestro corazón de ciencia. Nos predice tiempos de justicia, decisiones acertadas y también la reparación de los desaciertos. Nos estará dando una gran fuerza de atracción. Todo lo que se persiga con empeño, se conseguirá y nos brindará satisfacciones y contrariedades. Es el honor en contraposición con el deshonor.
</t>
  </si>
  <si>
    <t>La carta del tarot que regirá tu primer cuatrimestre será 8</t>
  </si>
  <si>
    <t xml:space="preserve">La Justicia.
Nos propone construir un santuario en nuestro corazón pero no hacer de nuestro corazón un culto. Este Arcano nos pronostica tiempo de retribuciones y restablecimientos. Se recibirán recompensas por determinadas acciones pero se sufrirán también castigos. Habrá ciertas ingratitudes mezcladas con situaciones gratificantes. Ciertos servicios prestados por error recibirán grandes recompensas, mientras que otras prestaciones hechas a conciencia, sabiendo los beneficios que ocasionarían, no serán ni reconocidas ni recompensadas.
</t>
  </si>
  <si>
    <t>La carta del tarot que regirá tu primer cuatrimestre será 9</t>
  </si>
  <si>
    <t xml:space="preserve">El Ermita.
Nos induce a observar la tierra prometida pero no nos promete el acceso a ella. En su predicción nos ofrece la ciencia necesaria para realizar descubrimientos, con el orden necesario para concretarlos y la cautela suficiente para hacer un buen uso de ellos. Nos vaticina tiempos en los que habrá buenas asociaciones y tiempos en los que éstas serán poco propicias. La llegada de buenos amigos capaces de prestar ayudar y de amigos que solo serán un obstáculo. Nos ofrece luz para el entendimiento de lo inmediato y luz para desarrollar la intuición de todo lo que puede suceder.
</t>
  </si>
  <si>
    <t>La carta del tarot que regirá tu primer cuatrimestre será 10</t>
  </si>
  <si>
    <t xml:space="preserve">La Retribución. 
Nos esta diciendo lo que cuesta conseguir el saber a través de la experiencia, pero además nos dice, que cuesta más conseguir el saber que nos falta. Este Arcano nos augura buena fortuna y mala fortuna, que a lo largo de nuestro camino habrá ascensos y descensos. La obtención de ciertas posesiones que serán legítimas y otras que serán de origen dudoso. Los enfrentamientos pasados serán reconsiderados y se repetirán las circunstancias de diferentes formas.
</t>
  </si>
  <si>
    <t>La carta del tarot que regirá tu primer cuatrimestre será 11</t>
  </si>
  <si>
    <t xml:space="preserve">La Persuasión.
Este Arcano conduce a llevar a cabo la oración de modo perseverante, aún cuando se este gozando de la esperanza y se sufra en el sinsabor. En su pronóstico nos estará ofreciendo el control de cualquier dirección que se siga con el consecuente dominio de todos los elementos. También nos estará indicando que ciertas cuestiones familiares nos conducirán a perder amigos, y la posibilidad de adquirir nuevas amistades, nos ofrece la renovación, la energía. Habrá sufrimientos, trabas, infamias y celos. Las contrariedades podrán ser muy bien sobrellevadas por intermedio de la resignación.
</t>
  </si>
  <si>
    <t>La carta del tarot que regirá tu primer cuatrimestre será 12</t>
  </si>
  <si>
    <t xml:space="preserve">El Apostolado. 
Es el desinterés puesto en todas las acciones que se llevan a cabo. Este arcano nos enseña, que aunque estemos fatigados durante el día o afligidos durante la noche no debemos derrumbarnos y continuar siempre alertas. Nos anuncia ciertas contrariedades en la vida, habrá angustias. En algunos momentos de la existencia se presentarán pérdidas materiales mientras que en otros momentos, pueden surgir ganancias. Algunos presentimientos proporcionarán angustias que deberán ser superadas rápidamente, para que puedan ser suplantadas por la aparición de presentimientos que animan a continuar, a pesar de las caídas.
</t>
  </si>
  <si>
    <t>La carta del tarot que regirá tu primer cuatrimestre será 13</t>
  </si>
  <si>
    <t xml:space="preserve">La inmortalidad. 
Nos conduce a levantarnos cada día con la luz, después que la noche ha concluido y ha surgido el nuevo día. Este arcano anuncia las desilusiones y los desengaños, que provocarán la destrucción de los afectos, el derrumbe, cosas solicitadas recibirán una respuesta negativa. Pero también el alma será merecedora de goces puros, los amigos se presentarán ayudando, todas las condiciones serán renovadas. Algunos cambios provocarán disfrutes dolorosos, si bien las circunstancias malas tenderán a mejorar, las buenas pueden inclinarse a peor.
</t>
  </si>
  <si>
    <t>La carta del tarot que regirá tu primer cuatrimestre será 14</t>
  </si>
  <si>
    <t xml:space="preserve">La Temperancia
Las relaciones entre los sexos tienden a regularse, conduce a la prudencia, a la pureza. Es necesario conseguir el equilibrio para no doblegarse ante nada, ni intentar doblegar a los otros. Nos anuncia nuevas amistades, reciprocidad en los afectos, relaciones donde los intereses y la química se confunden. Promete obligaciones, también aparecerán distintos tipos de amores, donde se hará presente la traición, la devoción y las penas. Algunas cosas que quedan en algún momento se irán, otras que se van pueden, en otro momento volver.
</t>
  </si>
  <si>
    <t>La carta del tarot que regirá tu primer cuatrimestre será 15</t>
  </si>
  <si>
    <t xml:space="preserve">La Pasión. 
Conduce a la ira y al miedo, a la maldad y a la disputa, es el agua capaz de apagar el fuego. Nos menciona que no debemos descuidar lo nuestro, por atender lo ajeno. Nos predice distintas pasiones, ciertas discrepancias, determina momentos de fatalidad, por otro lado tanto la legalidad como la adversidad puede conducir al bienestar. Pueden aparecer afectos perniciosos tanto para aquellos que son capaces de sentirlo como para los que son objetos de ellos. Se presentarán también situaciones en las que la violencia se hará presente y habrá deseos descontrolados.
</t>
  </si>
  <si>
    <t>La carta del tarot que regirá tu primer cuatrimestre será 16</t>
  </si>
  <si>
    <t xml:space="preserve">La Fragilidad.
Nos conduce a observar la luz de forma permanente, que es lo único que tiene verdadero valor. Este arcano nos augura inesperados accidentes, circunstancias buenas y malas traerán ciertos beneficios, en el camino habrá desasosiegos, tormentas, penurias y muertes. El amor y el odio se darán con la misma reciprocidad, al igual que la indiferencia y los celos, la nobleza y la traición.
</t>
  </si>
  <si>
    <t>La carta del tarot que regirá tu primer cuatrimestre será 17</t>
  </si>
  <si>
    <t xml:space="preserve">La Esperanza. 
Se refiere a todo lo que es capaz de fortalecer el ánimo, la agudeza, las esperanzas, la misericordia, aún cuando las privaciones se hagan presentes. Nos demuestra que la esperanza esta en el corazón optimista, a pesar que muchos para poder creer necesitan ver las señales y para poder obrar necesitan contar con la sabiduría suficiente. Este arcano promete el desarrollo de la intuición, de la fortaleza. Ofrece iluminación y también nacimientos. Habrá también pequeñas satisfacciones acompañadas de insatisfacciones en igual medida. Surgirán enojos que serán acompañados de reconciliaciones. Se harán presentes las ganancias y las privaciones, junto con abandonos.
</t>
  </si>
  <si>
    <t>La carta del tarot que regirá tu primer cuatrimestre será 18</t>
  </si>
  <si>
    <t xml:space="preserve">El Crepúsculo.
Ofrece la toma de conciencia de que la caridad esta relacionada estrechamente con la paciencia, ambas deben ser inagotables. Este arcano augura falta de estabilidad en la vida, situaciones precarias, donde las confusiones y los grandes cambios se hacen presentes. Las asechanzas estarán marcando una constante. Aparecerán inesperados impedimentos en todas las actividades y acciones, se necesitarán realizar largas deliberaciones tendientes a solucionar problemas constantes. Los resultados se darán de forma lenta o bastante retrasada. Es necesario tener mucho cuidado ya que se estará expuesto a triunfos y fracasos supuestos.
</t>
  </si>
  <si>
    <t>La carta del tarot que regirá tu primer cuatrimestre será 19</t>
  </si>
  <si>
    <t xml:space="preserve">La Inspiración. 
Las ideas son materializadas en los actos. Nos induce a avanzar con paso firme usando la fe como escudo, avanzando con el viento a favor o enfrentando las tempestades. Nos conduce a aumentar nuestro poder, lograr el éxito a través de la constancia. Nos anuncia que habrá dicha en los actos que se lleven a cabo, el esfuerzo propio y el de los otros comenzarán a dar sus frutos, también contaremos con la claridad necesaria en todo lo que se desee, también habrá herencias y fuego consumiendo lo deseado.
</t>
  </si>
  <si>
    <t>La carta del tarot que regirá tu primer cuatrimestre será 20</t>
  </si>
  <si>
    <t xml:space="preserve">La Resurrección. 
Es todo lo que esta entre lo material y lo moral, es aquello que pensamos sentimos y accionamos. Nos propone poner cada cosa en su lugar, para que adquieran madurez. Nos ofrece la posibilidad elegir convenientemente. Habrá éxito en las iniciativas, con buen trabajo y grandes ganancias. Lo bueno y lo malo tendrán sus compensaciones. Los amigos traidores serán anulados por los amigos fieles. Surgirán perdidas muy dolorosas, el bienestar por el que se estará pasando provocará ciertos celos en los otros.
</t>
  </si>
  <si>
    <t>La carta del tarot que regirá tu primer cuatrimestre será 21</t>
  </si>
  <si>
    <t xml:space="preserve">La Transmutación. 
Nos muestra que cada día amanece y termina el día, y que todo vuelve a su origen. Este arcano augura una larga vida, se recibirán herencias, la vida con triunfos y distinciones. La honestidad será disfrutada a pleno. Los afectos estarán disputados entre los rivales, los buenos amigos aparecerán para protegernos, los obstáculos aparecerán pero habrá también muy buena habilidad para lograr vencerlos, aparecerán algunas situaciones inciertas y se aclaran también algunas eventualidades.
</t>
  </si>
  <si>
    <t>La carta del tarot que regirá tu primer cuatrimestre será 22</t>
  </si>
  <si>
    <t xml:space="preserve">El Regreso.
Nos induce a no involucrar el alma en los misterios y secretos de las cosas. Este arcano nos predice que todo lo que hoy disfrutamos nos será quitado, la búsqueda constante de todo aquello que se quiere poseer, traerá cierta perturbación, el engreimiento como camino hacia la ruina. Habrá riesgo de apartarse de todo. Surgen riesgos de regalos insidiosos. Se vivirán desilusiones y promesas falsas, pero también se vivenciará el final de algunas cosas y el inicio de otras.
</t>
  </si>
  <si>
    <t>La carta del tarot que regirá tu primer cuatrimestre será 23</t>
  </si>
  <si>
    <t xml:space="preserve">El Labrador.
En su reflexión nos muestra la necesidad de trabajar no solo para nosotros mismos sino también para los que componen nuestro entorno. Como carta de predicción nos anuncia que a nuestra vida llegarán amigos inesperados que tendrán mucho poder, será necesario tenerlos en cuenta ya que necesitaremos en algún momento, la ayuda de ellos para la realización de emprendimientos propios. Será importante desarrollar la fe que nos ofrece este arcano, sobre todo aquella que podemos poner en nuestros amigos concretando el acto de recibir su ayuda pero también ofreciéndola incondicionalmente. Nos brinda la posibilidad de desarrollar la propia voluntad para poder elevarse. También contaremos con el buen obrar de los amigos que nos conducirán a la superación.
</t>
  </si>
  <si>
    <t>La carta del tarot que regirá tu primer cuatrimestre será 24</t>
  </si>
  <si>
    <t xml:space="preserve">La Tejedora. 
En su reflexión nos propone trabajar arduamente para mantener nuestra propia honra que a su vez nos permitirá honrar a los otros. Como carta de predicción nos promete que todo aquel que realiza una labor diaria con entusiasmo logrará una organización de la economía de su hogar. Confiere una maternidad basada en la honestidad. Nos indica que todas aquellas obligaciones adquiridas concientemente podrán llevarse a cabo con un gran desempeño. Este arcano ofrece la protección necesaria a toda mujer que manteniendo su honra, se dedique con empeño a trabajar en beneficio de su hogar y su familia.
</t>
  </si>
  <si>
    <t>La carta del tarot que regirá tu primer cuatrimestre será 25</t>
  </si>
  <si>
    <t xml:space="preserve">El Argonauta.
Nos induce en su reflexión a ser persistentes en todos los actos y acciones que llevemos a cabo durante nuestra vida, dejando de lado cualquier posibilidad de detenernos en el camino. Este arcano nos augura tristezas que serán causadas por la ausencia o el abandono de seres queridos. También se presentará la posibilidad de realizar viajes que nos alejarán de nuestro lugar de origen. Habrá también grandes cambios, durante los cuales deberemos afrontar la pérdida de muchas cosas para lograr la ganancia de otras que ocuparán su lugar. Será necesario mantener el equilibrio ya que deberemos sobrellevar grandes discusiones y fuertes enfrentamientos que tendrán lugar dentro de nuestro ámbito hogareño.
</t>
  </si>
  <si>
    <t>La carta del tarot que regirá tu primer cuatrimestre será 26</t>
  </si>
  <si>
    <t xml:space="preserve">El prodigio. 
Nos muestra como reflexión que es necesario comprender que hay un tiempo justo para todo, en el que se han destruido cosas, que hoy, hay que reconstruir, se deberá reemplazar ese pasado que se utilizó para hablar por un presente donde se hace inevitable aprender a callar. Este arcano nos predice la concreción de los objetivos que hemos tenido pendientes, nos ofrece la oportunidad de realizar los cambios que sean necesarios para lograr el éxito. En el camino que recorreremos para concretar nuestras metas se presentarán ciertos peligros que serán una amenaza en nuestra vida, pero que podremos superar realizando los cambios que sean necesarios. Se nos presentarán enseñanzas insospechadas que no debemos dejar pasar.
</t>
  </si>
  <si>
    <t>La carta del tarot que regirá tu primer cuatrimestre será 27</t>
  </si>
  <si>
    <t xml:space="preserve">Lo inesperado.
Nos muestra en su reflexión, que para conseguir ciertas cosas o beneficios no es necesario hacer un uso excesivo de adulación ni tampoco se debe usar la soberbia para conseguir el progreso anhelado. Como arcano nos predice que lograremos los éxitos pero se deberá ser paciente, ya que estos estarán condicionados por ciertas situaciones o personas. Durante el camino surgirán gran cantidad de sorpresas, por lo que será necesario estar muy alertas, estaremos expuestos a conspiraciones y traiciones por parte de personas de las cuales jamás se hubiese sospechado. Debemos ser pacientes ya que tendremos la oportunidad de realizar descubrimientos y hallazgos que si bien tardan en llegar, estos serán seguros.
</t>
  </si>
  <si>
    <t>La carta del tarot que regirá tu primer cuatrimestre será 28</t>
  </si>
  <si>
    <t xml:space="preserve">La Incertidumbre.
En su reflexión nos muestra que no debemos buscar en los otros lo que nosotros somos, así como tampoco debemos buscar dentro de nosotros lo que solo está en los demás. Este arcano nos augura contrariedades y trabas en nuestros objetivos, que deberán ser solucionados rápidamente ya que nos ocasionarán ciertos retrasos en la concreción de esos objetivos. Nos predice la presencia de ciertos misterios a lo largo de nuestro camino que deberán ser resultados para poder continuar, pero debemos estar alertas para poder aprovechar la ciencia que también nos ofrece este arcano para resolver todas estas cuestiones.
</t>
  </si>
  <si>
    <t>La carta del tarot que regirá tu primer cuatrimestre será 29</t>
  </si>
  <si>
    <t xml:space="preserve">La Domesticidad. 
Nos muestra en su reflexión, los beneficios que hay, en mantener los ojos jóvenes para poder ver toda la riqueza que nos brinda la naturaleza y el poder que nos ofrece la palabra prudente de un anciano. Como arcano predictivo nos augura ciertos actos que provocarán numerosos arrepentimientos. Algunos emprendimientos se verán retrasados por la falta de decisión y algunas vacilaciones. En algunos momentos nos veremos sumergidos en una profunda incomunicación por lo que será conveniente llevar una vida relacionada con la naturaleza. Surgirán también negocios beneficiosos, emprendimientos en los cuales será necesario luchar arduamente con la clara convicción que finalmente se obtendrán saldos muy provechosos.
</t>
  </si>
  <si>
    <t>La carta del tarot que regirá tu primer cuatrimestre será 30</t>
  </si>
  <si>
    <t xml:space="preserve">El Intercambio. 
Nos conduce en su reflexión a llevar a cabo cualquier tipo de trabajo con mucho esmero, impidiendo que avaricia nos domine. Este arcano nos anuncia que debemos desarrollar una vida en sociedad, para la que debemos hacer uso de las intercomunicaciones, donde el comercio y el intercambio mismo será imprescindible para concretar nuestras metas. A lo largo de esta vida en sociedad se nos presentarán una gran variedad de posibilidades que debemos aprovechar. Se nos presentarán también algunas altercados e inconvenientes que muchas veces no tendrán resolución. 
</t>
  </si>
  <si>
    <t>La carta del tarot que regirá tu primer cuatrimestre será 31</t>
  </si>
  <si>
    <t xml:space="preserve">Los Impedimentos.
En su reflexión nos enseña a no formular ningún juicio sin antes tener compasión, pero también nos propone no tener compasión sin haber realizado un juicio previo. Nos ofrece con su predicción grandes expectativas, habrá numerosas proposiciones que se cumplirán a mediano o corto plazo. Nos anuncia la obtención de bienes materiales que servirán para la casa. Habrá también ciertas restricciones que nos pondrán a prueba. Surgirán determinadas relaciones con personas que serán inferiores no solo en posición sino también en calidad, las que habrá que dejar de lado ya que no traerán ningún tipo de beneficio para ninguna de las dos partes.
</t>
  </si>
  <si>
    <t>La carta del tarot que regirá tu primer cuatrimestre será 32</t>
  </si>
  <si>
    <t xml:space="preserve">La Magnificencia.
Con su reflexión nos enseña que no debemos agotar todos los recursos de nuestro corazón, pero también nos enseña a aprovechar y agotar al máximo todos los recursos que nos ofrece nuestra inteligencia. Este arcano nos predice muchos peligros en distintos ámbitos de la vida a causa del abuso de palabrerío, también se vivirán situaciones de enfrentamientos a causa de un constante desborde de ira. Se sufrirán ciertos perjuicios por ostentar con la adquisición de bienes materiales. Los pleitos han de surgir muy a menudo y por causas a veces insignificantes, habrá una gran inclinación por abusar de los lujos lo que ocasionará algunos triunfos a nivel social pero también puede acarrear prejuicios en el mismo ámbito, por exceso de frivolidad. Con personas de igual nivel social surgirán simultáneamente reciprocidades y controversias.
</t>
  </si>
  <si>
    <t>La carta del tarot que regirá tu primer cuatrimestre será 33</t>
  </si>
  <si>
    <t xml:space="preserve">La Alianza. 
En su reflexión nos propone la necesidad de alegrarnos con el amor de nuestra juventud pero también nos propone que aún es más necesario contentarse con el amor de nuestra madurez. Nos predice la llegada de nuevas personas con las cuales se realizarán alianzas que serán muy acertadas, también nos anuncia que todos lo pactos que se realicen gozarán de perdurabilidad. Todas las asociaciones que se realicen basadas en la afinidad y no solo en la necesidad económica, serán muy prósperas y esta prosperidad que estará en constante aumento, provocará grandes progresos. Nos enfrentaremos también situaciones imprevistas que serán muy venturosas.
</t>
  </si>
  <si>
    <t>La carta del tarot que regirá tu primer cuatrimestre será 34</t>
  </si>
  <si>
    <t xml:space="preserve">La Innovación.
En su reflexión nos propone constancia para lograr atravesar largos días en los cuales se podrá desarrollar tanto el trabajo como la honestidad. Es su predicción, nos asegura la oportunidad de llevar a cabo buenas invenciones, tendremos la posibilidad de desarrollar nuevos emprendimiento que traerán grandes éxitos. En el camino surgirán numerosas tentaciones que se deberán sortear para no perder el rumbo. Será necesario mantener la firmeza y el optimismo en cada empresa que se siga ya que estaremos expuestos a ciertos temores que en algún momento se posesionarán de nosotros. Nuestro camino estará sembrado de hallazgos, de los cuales algunos serán afortunados y otros nos desconcertarán.
</t>
  </si>
  <si>
    <t>La carta del tarot que regirá tu primer cuatrimestre será 35</t>
  </si>
  <si>
    <t xml:space="preserve">El desconsuelo.
En su reflexión nos muestra que después del hoy se suceden hechos del pasado y en el presente se muestran las consecuencias de todo lo acaecido anteriormente. Este arcano nos predice que deberemos pasar por determinadas situaciones alarmantes, en esas situaciones se vivirán momentos en los que predominará la amargura y también la melancolía. Habrá sucesos y personas que nos provocarán grandes tristezas, que nos enseñarán a valorar cada vez más las pequeñas cosas de la vida. En nuestro camino encontraremos también algunos obstáculos que entorpecerán nuestros logros. Los hechos inesperados serán muy comunes a lo largo de nuestra vida, solo será necesario sobrellevarlos y tratar de canalizarlos hacia objetivos positivos.
</t>
  </si>
  <si>
    <t>La carta del tarot que regirá tu primer cuatrimestre será 36</t>
  </si>
  <si>
    <t xml:space="preserve">La Iniciación.
En su reflexión nos propone agudizar nuestra atención para poder escuchar todos los sonidos que existen y que servirán para la constante renovación. Este arcano nos augura la llegada de una nueva vida, a corto plazo disfrutaremos de numerosos nacimientos. Habrá en nuestro camino numerosas primicias y se emprenderán nuevos comienzos. Nos anuncia la proximidad de la fortuna que vendrá de la mano de grandes negocios, y se llevarán a cabo emprendimientos muy exitosos que habían sido postergados tiempo atrás. Nos augura algunas inclinaciones y desórdenes que se deberán sobrellevar con mucho cuidado para lograr concretar nuestras metas.
</t>
  </si>
  <si>
    <t>La carta del tarot que regirá tu primer cuatrimestre será 37</t>
  </si>
  <si>
    <t xml:space="preserve">El Arte y La Ciencia.
En su reflexión nos muestra la oportunidad de ofrecimiento, que se presenta ante nosotros y la necesidad de ponernos en marcha de forma inmediata para lograr acceder a ella. Nos augura la llegada de personas que aún siendo desconocidas se convertirán en amigos leales, estaremos expuestos a recibir grandes ayudas. Nos promete una vida íntegra, en la que primará la imparcialidad en todos los actos. Será necesaria la utilización de recursos inteligentes para llevar a cabo nuestros emprendimientos, porque en el camino habrá también grandes exigencias y ciertas tendencias inmorales que se deberán desechar. Se logrará acceder a la notoriedad, aunque no todo será satisfactorio.
</t>
  </si>
  <si>
    <t>La carta del tarot que regirá tu primer cuatrimestre será 38</t>
  </si>
  <si>
    <t xml:space="preserve">La Duplicidad. 
Nos sentencia que a pesar de ser muy virtuosos, esto no basta para que todos los otros vean en las obras, esa virtud. Como arcano de predicción nos promete que las mujeres cumplirán un papel muy importante, ya que ellas serán capaces de influenciar en los propios asuntos. También nos dice que habrá algunas torpezas que obstaculizarán nuestros objetivos, pero también nos ofrece toda la sabiduría a la hora de querer solucionar todas las trabas que impiden los éxitos. Se presentarán contradicciones como el desenfreno y el recato, la inmoralidad frente a la moralidad, la perversión y la virtud.
</t>
  </si>
  <si>
    <t>La carta del tarot que regirá tu primer cuatrimestre será 39</t>
  </si>
  <si>
    <t xml:space="preserve">El Testimonio. 
Nos propone en su reflexión, que es necesario poner todas nuestras intenciones para que expresen lo que verdaderamente somos, pero es importante poner en evidencia todas nuestras obras para que éstas sirvan de testimonio a los demás. Nos ofrece como elemento de predicción la conformidad para poder sobrellevar los sucesos negativos que puedan presentarse. Surgirán aproximaciones anheladas desde hace tiempo, tendremos la oportunidad de realizar comparaciones para optar por lo mejor. Llegarán invitaciones inesperadas y viajes que resultarán muy productivos. El matrimonio llegará con cierto retraso, y surgirán algunos temores por adulterio, que pueden ser reales o presuntos. Se producirán algunas llegadas previstas y otras que serán imprevistas.
</t>
  </si>
  <si>
    <t>La carta del tarot que regirá tu primer cuatrimestre será 40</t>
  </si>
  <si>
    <t xml:space="preserve">El Presentimiento. 
En su reflexión nos propone que los hombres no deberán mantener los ojos abiertos solo para la codicia, así como las mujeres no solo deberán tener los oídos abiertos a la adulación. Nos predice que los trabajos serán muy bien remunerados siempre que se aplique todo nuestro conocimiento, nos muestra lo imprescindible de la reflexión antes de la realización de cualquier acto. Se contará con la simpatía, la atracción y la seducción necesaria para llevar a cabo con éxito los emprendimientos, pero será necesario ser precavidos ya que también se darán sucesos contradictorios, y la amenaza de ruina estará latente.
</t>
  </si>
  <si>
    <t>La carta del tarot que regirá tu primer cuatrimestre será 41</t>
  </si>
  <si>
    <t xml:space="preserve">El Desasosiego. 
Nos infiere a través de su reflexión que a pesar de ciertas quebraduras y obstáculos siempre hay algo que sirve de sustento a la vida. Nos augura que se presentarán situaciones violentas a causa de una excesiva irritación. Las personas estarán en constante movimiento, gente conocida que se aleja y nuevas amistades que aparecen, esto será causa de algunas complicaciones, ya que algún grupo de ellas puede ocasionarnos ciertas molestias. Aparecerán en nuestro presente amores de juventud que nos traerán ciertos desvelos. Surgirán muchas situaciones en la que se vivirán alegrías contrariadas.
</t>
  </si>
  <si>
    <t>La carta del tarot que regirá tu primer cuatrimestre será 42</t>
  </si>
  <si>
    <t xml:space="preserve">La Preeminencia. 
Nos sugiere en su reflexión, que es necesario tener dignidad en todo lo que se emprenda, pero también se debe ser primero en poder y primordial en los méritos para obtener éxitos genuinos. Nos ofrece como augurio que se obtendrán numerosas ventajas si se mantienen los preceptos fundamentales de este arcano. Los triunfos se harán evidentes a mediano plazo, la dignidad y la superioridad servirán de base para desarrollarse en cualquier ámbito de la vida. Las relaciones están fundamentadas en la sinceridad reciproca. Se vivirán amores impensados que lograrán sorprendernos por su grandeza y su lealtad.
</t>
  </si>
  <si>
    <t>La carta del tarot que regirá tu primer cuatrimestre será 43</t>
  </si>
  <si>
    <t xml:space="preserve">La Alucinación.
Nos demuestra en su reflexión, que nuestro rostro se embellece cuando dejamos que la alegría inunde nuestro corazón. Nos vaticina grandes satisfacciones en cualquier ámbito de la vida, se vivirán momentos cargados de alegrías. Se recibirán reconocimientos de pares por actos de modestia. Nos enfrentaremos a situaciones que nos provocarán cierto pudor. Momentos donde se disfrutará de fiestas y divertimentos. Habrá disposiciones satisfactorias. Se desarrollarán pasiones violentas, por lo que se concretarán divorcios, aparecerán amores prohibidos que romperán con la calma reinante. También habrá prosperidad en los negocios.
</t>
  </si>
  <si>
    <t>La carta del tarot que regirá tu primer cuatrimestre será 44</t>
  </si>
  <si>
    <t xml:space="preserve">El Pensamiento.
Su reflexión nos conduce a intensificar con sabiduría las desconfianzas y a gozar plenamente de lo que es nuestro, en expectativa. Este arcano nos predice la llegada de buenos proyectos, el surgimiento de situaciones donde será necesario hacer uso del debate para llegar a resoluciones, la concreción positiva de todos los actos realizados con firmeza. En las relaciones personales y comerciales reinará la comprensión mutua. Todo lo que se desea tiene posibilidades de cumplirse a través de personas del sexo opuesto, pero esto se hará realidad después de haber atravesado por luchas difíciles.
</t>
  </si>
  <si>
    <t>La carta del tarot que regirá tu primer cuatrimestre será 45</t>
  </si>
  <si>
    <t xml:space="preserve">La Regeneración. 
Nos demuestra en su reflexión que en su tiempo, cada cosa es hermosa y se hace más gustosa cuando se logran incorporar los ingredientes justos. Nos augura como carta de predicción el renacimiento espiritual, el rejuvenecimiento del físico. Ofrece una reconsideración de todo lo que ha pasado y otorga algunas primicias de lo que puede llegar a venir. A lo largo de cada situación que se enfrenten se darán componentes opuestos, como energía y flaqueza, habrá algo que pertenece a la niñez y algo perteneciente a la madurez. La presencia de algunos parientes tendrá influencia directa sobre los temas amorosos. Se sufrirán rompimientos que darán lugar a nuevas relaciones, también habrá abandonos que serán remplazados por nuevas personas.
</t>
  </si>
  <si>
    <t>La carta del tarot que regirá tu primer cuatrimestre será 46</t>
  </si>
  <si>
    <t xml:space="preserve">El Patrimonio. 
Nos muestra en su reflexión, que todo aquel que se contenta con poco tiene la posibilidad de abrir las puertas a lo grande. En su acto de predicción nos promete herencias que provendrán de parte de amigos y herencias provenientes del derecho propio. La llegada a nuestras manos de bienes materiales producto de donaciones y testamentos. También se obtendrán herencias de antepasados que no serán económicas, nos dejarán sus tradiciones junto con la familia como patrimonio fundamental. Nos augura un matrimonio donde la afinidad será la base de su perdurabilidad. La aparición de una mujer traerá peligros para un hombre, y la llegada de un hombre peligrosamente seductor, ocasionará conflictos a una mujer. 
</t>
  </si>
  <si>
    <t>La carta del tarot que regirá tu primer cuatrimestre será 47</t>
  </si>
  <si>
    <t xml:space="preserve">La Conjetura. 
Nos muestra en su reflexión, que la misión del hombre, tanto en el presente como en el futuro, es la de mostrar correspondencia con todos los actos. Como carta de predicción nos promete nuevas iluminaciones para realizar proyectos y nuevas enseñanzas para concretarlos. Muestra al espíritu desconsolado frente a situaciones imprevistas, pero determina la madurez que traerá nuevas esperanzas. Se vivirán momentos donde las penas y las alegrías estarán muy próximas y se darán en igual medida. Se contará con la presencia de parientes que ofrecerán su apoyo incondicional. En el ámbito afectivo, los amores serán perdurables y también honestos.  
</t>
  </si>
  <si>
    <t>La carta del tarot que regirá tu primer cuatrimestre será 48</t>
  </si>
  <si>
    <t xml:space="preserve">La Consumación. 
Muestra en su reflexión la posibilidad de decidir entre el aprovechamiento gradual de lo que tenemos en reserva o el aprovechamiento de todos los conocimiento generales. Este arcano nos augura la posibilidad de concretar nuestros objetivos, los logros en general serán muy positivos. Todas las actividades que se emprendan estarán bien orientadas si se realiza un buen aprovechamiento de la ciencia. Todos los trabajos pendientes podrán ser concluidos y se obtendrán de ellos grandes triunfos. En el terreno sentimental se presentarán hechos irremediables, como amores inalcanzables.
</t>
  </si>
  <si>
    <t>La carta del tarot que regirá tu primer cuatrimestre será 49</t>
  </si>
  <si>
    <t xml:space="preserve">La Versatilidad.
Nos enseña mediante su reflexión, que todo trabajo que se realice con alegría resultará gratificante y aquel que se lo merezca tendrá también, un agradable descanso. Este arcano nos augura innovaciones que ayudarán a cambiar el rumbo de nuestra vida. En algún momento se realizarán mudanzas que determinarán cambios en todos los ámbitos. Aparecerán afectos nuevos, amores renovados. Las relaciones y las obligaciones estarán marcadas por la rivalidad. Surgirán ciertos acontecimientos que traerán buenaventura y otros que traerán algunos conflictos que serán subsanados en poco tiempo. 
</t>
  </si>
  <si>
    <t>La carta del tarot que regirá tu primer cuatrimestre será 50</t>
  </si>
  <si>
    <t xml:space="preserve">La Afinidad. 
Nos muestra en su reflexión, la importancia y la afinidad que tienen tanto el hombre como la mujer en cada hecho o acción que estén realizando. Como arcano de predicción nos augura ilusiones, relaciones pasajeras con las que se vivirán grandes pasiones, amores profundos y grandes apetitos sexuales. Los firmes deseos permitirán llevar a cabo todos los objetivos superando todos los obstáculos que pueden presentarse. Se conocerán nuevas personas que provocarán ciertos deslumbramientos y pueden conducirnos a cometer algunas imprudencias que pondrán en riesgo todas nuestras metas. Se deberá prestar mucha atención, pues en el camino aparecerán peligros desconocidos.
</t>
  </si>
  <si>
    <t>La carta del tarot que regirá tu primer cuatrimestre será 51</t>
  </si>
  <si>
    <t xml:space="preserve">El Asesoramiento.
Nos indica en su reflexión, que el consejo del sabio es valioso pero, es más valiosa aún la palabra de quien busca y sigue el consejo. Como arcano de predicción nos propone buen juicio para solucionar los conflictos y algunos temas judiciales que pueden presentarse. Nos muestra que surgirán relaciones con determinadas personas que poseen autoridad, entre los que pueden surgir poderosos enemigos. Habrá éxitos, si se eligen carreras relacionadas con la magistratura o relacionada con las armas. Pueden presentarse personas y situaciones engañosas.
</t>
  </si>
  <si>
    <t>La carta del tarot que regirá tu primer cuatrimestre será 52</t>
  </si>
  <si>
    <t xml:space="preserve">La Premeditación.
Nos aconseja, que es necesario poner en todas nuestras palabras, nuestro corazón pero no debemos poner en el corazón todas nuestras palabras. Este arcano nos pronostica que atravesaremos situaciones engañosas donde se harán presente aparentes refinamientos. Se conocerán personas que fingirán amistad pero en corto plazo demostrarán sus maldades. Las privaciones que debemos afrontar provocarán cierto agotamiento que impedirá vislumbrar un futuro promisorio. En algunas relaciones surgirán resentimientos, como consecuencia de estos rencores y odios surgirán fuertes luchas.
</t>
  </si>
  <si>
    <t>La carta del tarot que regirá tu primer cuatrimestre será 53</t>
  </si>
  <si>
    <t xml:space="preserve">El Resentimiento. 
Nos conduce mediante su reflexión a reparar las situaciones conflictivas y no hacer uso de la venganza en ningún aspecto de la vida. Como arcano de predicción nos anuncia que habrá episodios de ira descontrolada que provocará la inestabilidad de relaciones afectivas y comerciales. La falta de capacidad en algunas actividades resentirán los ánimos. Habrá situaciones complicadas por la falta de reflexión, donde se pueden hacer presentes las agresiones y los reproches. Algunas personas perjudicarán con su habladuría y otras nos brindarán su protección. Con algunas personas de poder surgirán numerosos altercados. Atención, porque habrá peligros a causa del fuego.
</t>
  </si>
  <si>
    <t>La carta del tarot que regirá tu primer cuatrimestre será 54</t>
  </si>
  <si>
    <t xml:space="preserve">EL Examen. 
Nos ofrece con su reflexión, la posibilidad de investigación, y de recoger todas las cosas buenas de la vida, también nos enseña que no debemos juntar rencores, ni injurias. Este arcano de predicción ofrece la observación necesaria para llevar a cabo los objetivos. Las investigaciones previas ayudarán a obtener resultados positivos. Las especulaciones llevarán a acusación falsas, los engaños estarán presentes y se descubrirán entre los amigos grandes enemigos que estaban ocultos, que se encargarán de hacernos pasar malos momentos, ya que harán uso de difamaciones para lograrlo.
</t>
  </si>
  <si>
    <t>La carta del tarot que regirá tu primer cuatrimestre será 55</t>
  </si>
  <si>
    <t xml:space="preserve">La Contrición. 
Nos enseña en su reflexión, a no incorporar enredos en nuestra vida y menos aún guardarlos en nuestro corazón. Nos promete en su predicción, grandes pesares por los errores cometidos, los desconsuelos en el ánimo serán recurrentes y provocarán paralizaciones en los emprendimientos. Habrá amarguras que deberán ser controladas para no caer en depresiones. Se producirán ciertas ganancias que no serán satisfactorias. Algunas actividades nos permitirán obtener determinados bienes materiales, pero esto nos ocasionará algunos sufrimientos a nivel de la moral.
</t>
  </si>
  <si>
    <t>La carta del tarot que regirá tu primer cuatrimestre será 56</t>
  </si>
  <si>
    <t xml:space="preserve">El Peregrinaje. 
Nos enseña en su reflexión a alentar y a reconfortar a los afligidos, y nos induce a sostenernos optimistas ante los sinsabores que se nos presentan en la vida. Nos augura una larga etapa de soltería, será necesario luchar para lograr vencer la timidez. Surgirán cosas que estarán relacionadas con santuarios o con determinadas personas que prestan su asistencia. Habrá grandes pesares antes de acceder al éxito, en el camino hacia nuestras metas surgirán misteriosos peligros. Tendremos la posibilidad de pertenecer a un círculo de personas de poder, donde surgirán algunas enemistades.
</t>
  </si>
  <si>
    <t>La carta del tarot que regirá tu primer cuatrimestre será 57</t>
  </si>
  <si>
    <t xml:space="preserve">La Rivalidad. 
Nos enseña mediante su reflexión, que el justo tiene riesgos de caer muchas veces pero si realmente se es justo, se podrá levantar tantas veces como haya caído. Este arcano augura situaciones un poco delicadas, situaciones que más de una vez se tornarán críticas, surgirán contradicciones entre socios y también en relaciones afectivas, habrá unificación de sucesos, se recibirá la desaprobación de pares y amigos, las deliberaciones serán una constante. Representa todo lo que es inevitable en la vida, es el mismo destino cumpliéndose.
</t>
  </si>
  <si>
    <t>La carta del tarot que regirá tu primer cuatrimestre será 58</t>
  </si>
  <si>
    <t xml:space="preserve">La Recapacitación. 
Nos conduce en su reflexión, a consultar a nuestro corazón en cada situación en la que alguien de nuestro entorno sea capaz de crear una confusión. Nos augura ciertos peligros en nuestra vida por lo que deberemos estar alertas, contaremos con la aptitud necesaria para realizar las observaciones en el momento justo. Habrá reproches sin merecimiento por parte de personas muy allegadas. También habrá pérdidas de poder, anhelos de realizaciones y además esperanzas malogradas. Ofrece el valor necesario para enfrentar todo tipo de sufrimiento.
</t>
  </si>
  <si>
    <t>La carta del tarot que regirá tu primer cuatrimestre será 59</t>
  </si>
  <si>
    <t xml:space="preserve">La Revelación.
Nos muestra mediante su reflexión que los méritos de los hombres se comprueban a través de quienes hablan o censuran, al igual que los metales son probados en el fuego. Este arcano nos predice afirmaciones y autorizaciones. Los mensajes y los mensajeros serán parte de nuestra vida, en ellos habrá noticias diversas y algunas contradictorias. Surgirán viajes y no faltarán situaciones en las que se deban afrontar adversidades y algunas charlatanerías, los secretos más guardados serán sacados a la luz a través de personas que integran nuestro círculo de amistades.
</t>
  </si>
  <si>
    <t>La carta del tarot que regirá tu primer cuatrimestre será 60</t>
  </si>
  <si>
    <t xml:space="preserve">La Evolución. 
Nos enseña a través de su reflexión, que para que todo se pueda transformar y pueda desarrollarse plenamente es necesario, no solo sembrar constantemente sino también cuidar todo de la misma manera. Nos augura que tendremos que sufrir algunas pérdidas para poder obtener posteriormente ganancias. Nuestra fortuna sufrirá ciertos azotes, que serán superados constantemente. Las ideas prefijadas pueden acarrear la ruina, por lo que será necesario estar predispuestas a cambiarlas para lograr desarrollarse. Sucederán ciertos cambios que resultarán adversos y hechos muy dolorosos, como pérdida de seres queridos. 
</t>
  </si>
  <si>
    <t>La carta del tarot que regirá tu primer cuatrimestre será 61</t>
  </si>
  <si>
    <t xml:space="preserve">La soledad. 
Nos enseña mediante su reflexión a concientizarnos que se debe pagar todo aquello que se deba, cumpliendo la premisa de que al que contribuye, se debe contribuir, que al que honra hay que honrar. Como arcano predictivo nos anuncia ciertas reservas. Cautela, que a veces puede ser tan excesiva que nos puede conducir a la incomunicación. Habrá momentos en los que la incapacidad nos paralizará, por lo que nos ofrece la capacidad de ahorro para lograr sobrellevarlos. La buena conducta será determinante para lograr los éxitos que se persiguen. Hay tendencia al aislamiento de la vida social, este aislamiento puede se de modo voluntario o obligado.
</t>
  </si>
  <si>
    <t>La carta del tarot que regirá tu primer cuatrimestre será 62</t>
  </si>
  <si>
    <t xml:space="preserve">La proscripción.
Nos enseña mediante su reflexión que aquel que es capaz de guardar sus palabras logrará guardar su alma. Este arcano nos augura relaciones donde serán constantes las discusiones, que en algunos casos podrán solucionarse pero en otros llegarán a rompimientos definitivos. Surgirán grandes contradicciones que conducirán a alejamientos permanentes y se cosecharán numerosas antipatías. Algunas tareas dificultosas distraerán nuestra atención. Nos predice un camino plagado de tentaciones que deberemos aprender a desechar.
</t>
  </si>
  <si>
    <t>La carta del tarot que regirá tu primer cuatrimestre será 63</t>
  </si>
  <si>
    <t xml:space="preserve">La Comunión.
Nos enseña en su reflexión, que debemos darles las herramientas a todo aquel que no cuenta con ellas y tiene ganas de construir para crecer, ofrece los consejos para el que quiere actuar y no sabe como. En su predicción nos promete numerosos afectos, habrá correspondencias en las relaciones, las que estarán cargadas de ternura e intimidad. La afinidad se dará tanto en las relaciones de amistad como en las relaciones comerciales. Nos ofrece la mutua protección ante ataques de terceros. Habrá uniones para luchar por grandes ideales.
</t>
  </si>
  <si>
    <t>La carta del tarot que regirá tu primer cuatrimestre será 64</t>
  </si>
  <si>
    <t xml:space="preserve">La Vehemencia.
Nos demuestra a través de su reflexión, que la sabiduría es lo que nos ofrece fortaleza y el deseo que la mueva, es la propia fuerza. Nos ofrece como Arcano de predicción la vivencia de pasiones exageras. Surgirán constantes transformaciones en el estado de ánimo, donde serán notorios los estados de ira descontrolada. La tendencia a la antipatía provocará el alejamiento de personas que han integrado, por mucho tiempo, nuestro círculo de amistades. Se deberán emprender distintas luchas para lograr concretar los emprendimientos. Nos ofrece el desarrollo de la fuerza para efectivizar las conquistas, los asuntos amorosos se lograr llevar a cabo con gran éxito.
</t>
  </si>
  <si>
    <t>La carta del tarot que regirá tu primer cuatrimestre será 65</t>
  </si>
  <si>
    <t xml:space="preserve">El Aprendizaje. 
Nos muestra con su reflexión, que todo aquel que es capaz de añadir ciencia día tras día a su vida, también añadirá con ella el bienestar. Como arcano de predicción nos augura grandes posibilidades de adquirir enseñanzas a nivel interno y también a nivel externo, se mostrarán defectos y en contraposición grandes virtudes. Habrá en cualquier aspecto de la vida ascensos importantes acompañados de descensos no menos importantes. Aparecerá una persona de mayor edad y de mejor posición social y económica, que brindará protección y amparo. En un futuro cercano, más de lo que uno puede creer, habrá mayor dicha, aunque el presente que se está viviendo no pareciera demostrarlo.
</t>
  </si>
  <si>
    <t>La carta del tarot que regirá tu primer cuatrimestre será 66</t>
  </si>
  <si>
    <t xml:space="preserve">La Perplejidad. 
Nos enseña en su reflexión que es beneficioso dejar madurar las cosas para tomar decisiones, antes que desecharlas por no tomarse el tiempo de valorar cada una de las situaciones. Este arcano nos augura momentos donde se acrecentarán las indecisiones en cualquier aspecto de nuestra vida, algunos asuntos o temas quedarán en suspenso por un tiempo determinado. Algunas protecciones que se recibirán estarán siempre, condicionadas por algo o por alguien. Contaremos con el apoyo de personas influyentes. Si bien surgirán ciertas inseguridades en algunas cosas, otras estarán signadas por la seguridad, pero en ambos casos siempre estará presente la esperanza.
</t>
  </si>
  <si>
    <t>La carta del tarot que regirá tu primer cuatrimestre será 67</t>
  </si>
  <si>
    <t xml:space="preserve">La Amistad. 
Nos muestra mediante su reflexión la importancia de tener siempre la mano tendida para poder dar, y el paso firme para lograr cumplir con todos los cometidos. Nos ofrece la predisposición para estar con los otros en las buenas y en las malas. Nos augura la obtención de buenas ganancias producto de los deberes asumidos y cumplidos. El desarrollo de un estado de ánimo en calma. Contaremos con la presencia de gente que no se esperaba. Habrá obstáculos en el camino, pero se tendrá la capacidad de poder superarlos y salir triunfantes de ello. A lo largo de la vida se encontrarán amistades muy leales, de las cuales se podrán recibir su apoyo. Surgirán afectos incondicionales. 
</t>
  </si>
  <si>
    <t>La carta del tarot que regirá tu primer cuatrimestre será 68</t>
  </si>
  <si>
    <t xml:space="preserve">La Especulación. 
Con su reflexión nos muestra los beneficios que hay en la acción de mirar todo sin ningún tipo de temor, y la de utilizar las manos con amor. Nos ofrece como arcano de predicción la posibilidad de realizar una labor donde la inteligencia tiene un papel muy importante. Tendremos la oportunidad de adquirir conocimientos muy valiosos que serán también, muy beneficiosos a nivel económico. Nuestros bienes materiales se acrecentarán notablemente, así como también aumentará nuestra generosidad. Actos importantes de desinterés signarán nuestra vida y en cuestiones monetarias surgirán noticias muy favorables. Todo nuestros emprendimientos, estarán predispuestos al éxito, ya que se realizarán en base a cálculos muy atinados.
</t>
  </si>
  <si>
    <t>La carta del tarot que regirá tu primer cuatrimestre será 69</t>
  </si>
  <si>
    <t xml:space="preserve">El Azar. 
Nos muestra con su reflexión, que todos los trabajos realizados darán su fruto y que éste necesitará de trabajo para lograr mantenerlos y acrecentarlos. Este arcano nos predice grandes retribuciones por los trabajos realizados, habrá buenas compensaciones en cada cosa que se realice, surgirán cambios que serán propicios, pues nos traerán muchas satisfacciones. Nos ofrece oportunidades, mediante las cuales se podrá adquirir una mejor posición. Toda operación relacionada con propiedades inmuebles reportará muy buenas ganancias. Espontáneamente se comenzarán a cumplir nuestros deseos más profundos. Surgirán algunas atracciones de modo accidental.
</t>
  </si>
  <si>
    <t>La carta del tarot que regirá tu primer cuatrimestre será 70</t>
  </si>
  <si>
    <t xml:space="preserve">La Cooperación. 
Nos muestra con su reflexión, la relación que hay entre el hombre y la ciencia, demostrando que no se puede encontrar ciencia sin hombre y tampoco se puede encontrar un hombre que no tenga ciencia. Nos augura la presencia de afectos sumamente sinceros, el cumplimiento de todas las promesas realizadas. También nos indica que todas las esperanzas que no estén lo suficientemente fundamentadas se desvanecerán. Nos predice que atravesaremos distintos episodios cargados de misterio y pesares por algún fallecimiento. Nos permitirá aprovechar la aplicación de las artes y de las ciencias para lograr el progreso y la prosperidad.
</t>
  </si>
  <si>
    <t>La carta del tarot que regirá tu primer cuatrimestre será 71</t>
  </si>
  <si>
    <t xml:space="preserve">La Avaricia. 
Nos brinda con su reflexión, lo egoísta que es la misma codicia, y la cantidad de miseria y sinsabores que ésta puede acarrear. Nos augura situaciones donde estará presente la especulación. Remordimientos a causa de determinados objetivos que estarán fundamentados en el egoísmo. Si bien surgirán grandes esperanzas, estas otorgarán pocos resultados positivos. Estaremos expuestos a situaciones donde el riesgo de robos será permanente. Por la gran tendencia al egoísmo y a la especulación, se corre el riesgo de perder la posición que se ha adquirido y habrá dificultades en mantener el puesto que se esta ocupando.
</t>
  </si>
  <si>
    <t>La carta del tarot que regirá tu primer cuatrimestre será 72</t>
  </si>
  <si>
    <t xml:space="preserve">La Purificación.
Nos conduce mediante su reflexión, a escuchar la sabiduría de nuestro padre, y a no desechar la orientación que nos brinda nuestra madre. Nos augura cierto grado de ingenuidad en los actos. Habrá consternación en nuestro ánimo, pero recibiremos la luz necesaria para iluminarlo y avivarlo. Nos promete que a través del esfuerzo hacendoso lograremos obtener muy buenas ganancias. Recibiremos noticias satisfactorias que propiciarán un cambio tanto en el ámbito laboral como en el afectivo. Llevaremos a cabo adquisiciones muy rentables y gratificantes.
</t>
  </si>
  <si>
    <t>La carta del tarot que regirá tu primer cuatrimestre será 73</t>
  </si>
  <si>
    <t xml:space="preserve">El Amor y El Deseo.
Nos ofrece en su reflexión, que a través de nuestra propia labor lograremos adquirir grandes beneficios. Nos augura una vida llena de ilusiones, plena de atractivos, en la que también se vivirán pasiones fogosas. Las buenas ambiciones ayudarán al progreso personal. Las esperanzas estarán puestas en personas del sexo opuesto, de cuya voluntad dependerá la adquisición de algunas cosas. Se recibirán bienes que no se esperaban. La interferencia de amigos desleales, harán peligrar algunas adquisiciones.
</t>
  </si>
  <si>
    <t>La carta del tarot que regirá tu primer cuatrimestre será 74</t>
  </si>
  <si>
    <t xml:space="preserve">La Ofrenda. 
Nos augura el desarrollo de la devoción, de la adoración y del fervor puesto en cada acto. En las relaciones afectivas se vivirán pasiones muy amorosas. La armonía y la discordia se darán permanentemente en todas las relaciones. Los pensamientos inspirados permitirán concretar muchos proyectos, tanto afectivos como comerciales. Los actos estarán basados en la abundancia. Las iniciativas están cargadas de variabilidad y provocan desórdenes que a veces impedirán algunos logros que podrían ser edificantes.
</t>
  </si>
  <si>
    <t>La carta del tarot que regirá tu primer cuatrimestre será 75</t>
  </si>
  <si>
    <t xml:space="preserve">La Generosidad.
Nos ofrece como reflexión, que todo lo que es grato a los sentidos puede serlo aún más cuando se logra establecer el acto de dar y de recibir. Nos augura etapas de donaciones y regalos. A largo plazo surgirán definiciones en distintos ámbitos que serán muy satisfactorias. Se obtendrán numerosas recompensas por actos desinteresados. Seremos merecedores de herencias que no provendrán de fallecimientos. Serán muy buenos momentos para la adquisición de ganancias, nuestra fortuna se mantendrá estable por mucho tiempo.
</t>
  </si>
  <si>
    <t>La carta del tarot que regirá tu primer cuatrimestre será 76</t>
  </si>
  <si>
    <t xml:space="preserve">El Dispensador.
Nos ofrece mediante su reflexión, la oportunidad de invitar al extraño a compartir nuestro pan y nuestro hogar. Nos augura con su predicción mucha nobleza, donde no faltarán las consideraciones hacia los que nos rodean. Todos los actos estarán cargados de importancia. Los problemas podrán ser resueltos con gran agilidad. Los actos estarán signados por la grandeza. Serán momentos en los que se darán muchos nacimientos. Las empresas serán dirigidas inteligentemente por lo que obtendremos muy buena fortuna. Contaremos con un abundante trabajo y una gran capacidad para darle la utilidad necesaria.
</t>
  </si>
  <si>
    <t>La carta del tarot que regirá tu primer cuatrimestre será 77</t>
  </si>
  <si>
    <t xml:space="preserve">La Desorientación. 
En su reflexión nos muestra la necesidad de fronteras, que tiene aquel que está dispuesto a caminar y la necesidad de herramientas, que tiene la mano trabajadora. Nos augura situaciones conflictivas y comprometidas. Las ideas se tornarán confusas y habrá incertidumbre a la hora de tomar decisiones. Deberemos enfrentar obstáculos que se presentarán de manera imprevista. Las posibilidades de disfrutar de la buena o de la mala fortuna dependerán del desarrollo de nuestra propia inspiración en oscilará en uno y otro lado.
</t>
  </si>
  <si>
    <t>La carta del tarot que regirá tu primer cuatrimestre será 78</t>
  </si>
  <si>
    <t xml:space="preserve">El Renacimiento.
Nos ofrece con su reflexión que día tras día es necesario dar gracias por toda nuestra fortuna, sea buena o sea mala. Nos augura nuevas aspiraciones. Todas las relaciones nos brindarán satisfacciones puras. Las actividades en todos los ámbitos nos resultarán placenteras, ya que nos ofrecerán tanto alegrías morales como materiales. La honra y la suerte estarán durante mucho tiempo de nuestro lado.
</t>
  </si>
  <si>
    <t>Cartas del tarot para el segundo cuatrimestre</t>
  </si>
  <si>
    <t>La carta del tarot que regirá tu segundo cuatrimestre será 1</t>
  </si>
  <si>
    <t>La carta del tarot que regirá tu segundo cuatrimestre será 2</t>
  </si>
  <si>
    <t>La carta del tarot que regirá tu segundo cuatrimestre será 3</t>
  </si>
  <si>
    <t>La carta del tarot que regirá tu segundo cuatrimestre será 4</t>
  </si>
  <si>
    <t>La carta del tarot que regirá tu segundo cuatrimestre será 5</t>
  </si>
  <si>
    <t>La carta del tarot que regirá tu segundo cuatrimestre será 6</t>
  </si>
  <si>
    <t>La carta del tarot que regirá tu segundo cuatrimestre será 7</t>
  </si>
  <si>
    <t>La carta del tarot que regirá tu segundo cuatrimestre será 8</t>
  </si>
  <si>
    <t>La carta del tarot que regirá tu segundo cuatrimestre será 9</t>
  </si>
  <si>
    <t>La carta del tarot que regirá tu segundo cuatrimestre será 10</t>
  </si>
  <si>
    <t>La carta del tarot que regirá tu segundo cuatrimestre será 11</t>
  </si>
  <si>
    <t>La carta del tarot que regirá tu segundo cuatrimestre será 12</t>
  </si>
  <si>
    <t>La carta del tarot que regirá tu segundo cuatrimestre será 13</t>
  </si>
  <si>
    <t>La carta del tarot que regirá tu segundo cuatrimestre será 14</t>
  </si>
  <si>
    <t>La carta del tarot que regirá tu segundo cuatrimestre será 15</t>
  </si>
  <si>
    <t>La carta del tarot que regirá tu segundo cuatrimestre será 16</t>
  </si>
  <si>
    <t>La carta del tarot que regirá tu segundo cuatrimestre será 17</t>
  </si>
  <si>
    <t>La carta del tarot que regirá tu segundo cuatrimestre será 18</t>
  </si>
  <si>
    <t>La carta del tarot que regirá tu segundo cuatrimestre será 19</t>
  </si>
  <si>
    <t>La carta del tarot que regirá tu segundo cuatrimestre será 20</t>
  </si>
  <si>
    <t>La carta del tarot que regirá tu segundo cuatrimestre será 21</t>
  </si>
  <si>
    <t>La carta del tarot que regirá tu segundo cuatrimestre será 22</t>
  </si>
  <si>
    <t>La carta del tarot que regirá tu segundo cuatrimestre será 23</t>
  </si>
  <si>
    <t>La carta del tarot que regirá tu segundo cuatrimestre será 24</t>
  </si>
  <si>
    <t>La carta del tarot que regirá tu segundo cuatrimestre será 25</t>
  </si>
  <si>
    <t>La carta del tarot que regirá tu segundo cuatrimestre será 26</t>
  </si>
  <si>
    <t>La carta del tarot que regirá tu segundo cuatrimestre será 27</t>
  </si>
  <si>
    <t>La carta del tarot que regirá tu segundo cuatrimestre será 28</t>
  </si>
  <si>
    <t>La carta del tarot que regirá tu segundo cuatrimestre será 29</t>
  </si>
  <si>
    <t>La carta del tarot que regirá tu segundo cuatrimestre será 30</t>
  </si>
  <si>
    <t>La carta del tarot que regirá tu segundo cuatrimestre será 31</t>
  </si>
  <si>
    <t>La carta del tarot que regirá tu segundo cuatrimestre será 32</t>
  </si>
  <si>
    <t>La carta del tarot que regirá tu segundo cuatrimestre será 33</t>
  </si>
  <si>
    <t>La carta del tarot que regirá tu segundo cuatrimestre será 34</t>
  </si>
  <si>
    <t>La carta del tarot que regirá tu segundo cuatrimestre será 35</t>
  </si>
  <si>
    <t>La carta del tarot que regirá tu segundo cuatrimestre será 36</t>
  </si>
  <si>
    <t>La carta del tarot que regirá tu segundo cuatrimestre será 37</t>
  </si>
  <si>
    <t>La carta del tarot que regirá tu segundo cuatrimestre será 38</t>
  </si>
  <si>
    <t>La carta del tarot que regirá tu segundo cuatrimestre será 39</t>
  </si>
  <si>
    <t>La carta del tarot que regirá tu segundo cuatrimestre será 40</t>
  </si>
  <si>
    <t>La carta del tarot que regirá tu segundo cuatrimestre será 41</t>
  </si>
  <si>
    <t>La carta del tarot que regirá tu segundo cuatrimestre será 42</t>
  </si>
  <si>
    <t>La carta del tarot que regirá tu segundo cuatrimestre será 43</t>
  </si>
  <si>
    <t>La carta del tarot que regirá tu segundo cuatrimestre será 44</t>
  </si>
  <si>
    <t>La carta del tarot que regirá tu segundo cuatrimestre será 45</t>
  </si>
  <si>
    <t>La carta del tarot que regirá tu segundo cuatrimestre será 46</t>
  </si>
  <si>
    <t>La carta del tarot que regirá tu segundo cuatrimestre será 47</t>
  </si>
  <si>
    <t>La carta del tarot que regirá tu segundo cuatrimestre será 48</t>
  </si>
  <si>
    <t>La carta del tarot que regirá tu segundo cuatrimestre será 49</t>
  </si>
  <si>
    <t>La carta del tarot que regirá tu segundo cuatrimestre será 50</t>
  </si>
  <si>
    <t>La carta del tarot que regirá tu segundo cuatrimestre será 51</t>
  </si>
  <si>
    <t>La carta del tarot que regirá tu segundo cuatrimestre será 52</t>
  </si>
  <si>
    <t>La carta del tarot que regirá tu segundo cuatrimestre será 53</t>
  </si>
  <si>
    <t>La carta del tarot que regirá tu segundo cuatrimestre será 54</t>
  </si>
  <si>
    <t>La carta del tarot que regirá tu segundo cuatrimestre será 55</t>
  </si>
  <si>
    <t>La carta del tarot que regirá tu segundo cuatrimestre será 56</t>
  </si>
  <si>
    <t>La carta del tarot que regirá tu segundo cuatrimestre será 57</t>
  </si>
  <si>
    <t>La carta del tarot que regirá tu segundo cuatrimestre será 58</t>
  </si>
  <si>
    <t>La carta del tarot que regirá tu segundo cuatrimestre será 59</t>
  </si>
  <si>
    <t>La carta del tarot que regirá tu segundo cuatrimestre será 60</t>
  </si>
  <si>
    <t>La carta del tarot que regirá tu segundo cuatrimestre será 61</t>
  </si>
  <si>
    <t>La carta del tarot que regirá tu segundo cuatrimestre será 62</t>
  </si>
  <si>
    <t>La carta del tarot que regirá tu segundo cuatrimestre será 63</t>
  </si>
  <si>
    <t>La carta del tarot que regirá tu segundo cuatrimestre será 64</t>
  </si>
  <si>
    <t>La carta del tarot que regirá tu segundo cuatrimestre será 65</t>
  </si>
  <si>
    <t>La carta del tarot que regirá tu segundo cuatrimestre será 66</t>
  </si>
  <si>
    <t>La carta del tarot que regirá tu segundo cuatrimestre será 67</t>
  </si>
  <si>
    <t>La carta del tarot que regirá tu segundo cuatrimestre será 68</t>
  </si>
  <si>
    <t>La carta del tarot que regirá tu segundo cuatrimestre será 69</t>
  </si>
  <si>
    <t>La carta del tarot que regirá tu segundo cuatrimestre será 70</t>
  </si>
  <si>
    <t>La carta del tarot que regirá tu segundo cuatrimestre será 71</t>
  </si>
  <si>
    <t>La carta del tarot que regirá tu segundo cuatrimestre será 72</t>
  </si>
  <si>
    <t>La carta del tarot que regirá tu segundo cuatrimestre será 73</t>
  </si>
  <si>
    <t>La carta del tarot que regirá tu segundo cuatrimestre será 74</t>
  </si>
  <si>
    <t>La carta del tarot que regirá tu segundo cuatrimestre será 75</t>
  </si>
  <si>
    <t>La carta del tarot que regirá tu segundo cuatrimestre será 76</t>
  </si>
  <si>
    <t>La carta del tarot que regirá tu segundo cuatrimestre será 77</t>
  </si>
  <si>
    <t>La carta del tarot que regirá tu segundo cuatrimestre será 78</t>
  </si>
  <si>
    <t>Cartas del tarot para el tercer cuatrimestre</t>
  </si>
  <si>
    <t>La carta del tarot que regirá tu tercero cuatrimestre será 1</t>
  </si>
  <si>
    <t>La carta del tarot que regirá tu tercero cuatrimestre será 2</t>
  </si>
  <si>
    <t>La carta del tarot que regirá tu tercero cuatrimestre será 3</t>
  </si>
  <si>
    <t>La carta del tarot que regirá tu tercero cuatrimestre será 4</t>
  </si>
  <si>
    <t>La carta del tarot que regirá tu tercero cuatrimestre será 5</t>
  </si>
  <si>
    <t>La carta del tarot que regirá tu tercero cuatrimestre será 6</t>
  </si>
  <si>
    <t>La carta del tarot que regirá tu tercero cuatrimestre será 7</t>
  </si>
  <si>
    <t>La carta del tarot que regirá tu tercero cuatrimestre será 8</t>
  </si>
  <si>
    <t>La carta del tarot que regirá tu tercero cuatrimestre será 9</t>
  </si>
  <si>
    <t>La carta del tarot que regirá tu tercero cuatrimestre será 10</t>
  </si>
  <si>
    <t>La carta del tarot que regirá tu tercero cuatrimestre será 11</t>
  </si>
  <si>
    <t>La carta del tarot que regirá tu tercero cuatrimestre será 12</t>
  </si>
  <si>
    <t>La carta del tarot que regirá tu tercero cuatrimestre será 13</t>
  </si>
  <si>
    <t>La carta del tarot que regirá tu tercero cuatrimestre será 14</t>
  </si>
  <si>
    <t>La carta del tarot que regirá tu tercero cuatrimestre será 15</t>
  </si>
  <si>
    <t>La carta del tarot que regirá tu tercero cuatrimestre será 16</t>
  </si>
  <si>
    <t>La carta del tarot que regirá tu tercero cuatrimestre será 17</t>
  </si>
  <si>
    <t>La carta del tarot que regirá tu tercero cuatrimestre será 18</t>
  </si>
  <si>
    <t>La carta del tarot que regirá tu tercero cuatrimestre será 19</t>
  </si>
  <si>
    <t>La carta del tarot que regirá tu tercero cuatrimestre será 20</t>
  </si>
  <si>
    <t>La carta del tarot que regirá tu tercero cuatrimestre será 21</t>
  </si>
  <si>
    <t>La carta del tarot que regirá tu tercero cuatrimestre será 22</t>
  </si>
  <si>
    <t>La carta del tarot que regirá tu tercero cuatrimestre será 23</t>
  </si>
  <si>
    <t>La carta del tarot que regirá tu tercero cuatrimestre será 24</t>
  </si>
  <si>
    <t>La carta del tarot que regirá tu tercero cuatrimestre será 25</t>
  </si>
  <si>
    <t>La carta del tarot que regirá tu tercero cuatrimestre será 26</t>
  </si>
  <si>
    <t>La carta del tarot que regirá tu tercero cuatrimestre será 27</t>
  </si>
  <si>
    <t>La carta del tarot que regirá tu tercero cuatrimestre será 28</t>
  </si>
  <si>
    <t>La carta del tarot que regirá tu tercero cuatrimestre será 29</t>
  </si>
  <si>
    <t>La carta del tarot que regirá tu tercero cuatrimestre será 30</t>
  </si>
  <si>
    <t>La carta del tarot que regirá tu tercero cuatrimestre será 31</t>
  </si>
  <si>
    <t>La carta del tarot que regirá tu tercero cuatrimestre será 32</t>
  </si>
  <si>
    <t>La carta del tarot que regirá tu tercero cuatrimestre será 33</t>
  </si>
  <si>
    <t>La carta del tarot que regirá tu tercero cuatrimestre será 34</t>
  </si>
  <si>
    <t>La carta del tarot que regirá tu tercero cuatrimestre será 35</t>
  </si>
  <si>
    <t>La carta del tarot que regirá tu tercero cuatrimestre será 36</t>
  </si>
  <si>
    <t>La carta del tarot que regirá tu tercero cuatrimestre será 37</t>
  </si>
  <si>
    <t>La carta del tarot que regirá tu tercero cuatrimestre será 38</t>
  </si>
  <si>
    <t>La carta del tarot que regirá tu tercero cuatrimestre será 39</t>
  </si>
  <si>
    <t>La carta del tarot que regirá tu tercero cuatrimestre será 40</t>
  </si>
  <si>
    <t>La carta del tarot que regirá tu tercero cuatrimestre será 41</t>
  </si>
  <si>
    <t>La carta del tarot que regirá tu tercero cuatrimestre será 42</t>
  </si>
  <si>
    <t>La carta del tarot que regirá tu tercero cuatrimestre será 43</t>
  </si>
  <si>
    <t>La carta del tarot que regirá tu tercero cuatrimestre será 44</t>
  </si>
  <si>
    <t>La carta del tarot que regirá tu tercero cuatrimestre será 45</t>
  </si>
  <si>
    <t>La carta del tarot que regirá tu tercero cuatrimestre será 46</t>
  </si>
  <si>
    <t>La carta del tarot que regirá tu tercero cuatrimestre será 47</t>
  </si>
  <si>
    <t>La carta del tarot que regirá tu tercero cuatrimestre será 48</t>
  </si>
  <si>
    <t>La carta del tarot que regirá tu tercero cuatrimestre será 49</t>
  </si>
  <si>
    <t>La carta del tarot que regirá tu tercero cuatrimestre será 50</t>
  </si>
  <si>
    <t>La carta del tarot que regirá tu tercero cuatrimestre será 51</t>
  </si>
  <si>
    <t>La carta del tarot que regirá tu tercero cuatrimestre será 52</t>
  </si>
  <si>
    <t>La carta del tarot que regirá tu tercero cuatrimestre será 53</t>
  </si>
  <si>
    <t>La carta del tarot que regirá tu tercero cuatrimestre será 54</t>
  </si>
  <si>
    <t>La carta del tarot que regirá tu tercero cuatrimestre será 55</t>
  </si>
  <si>
    <t>La carta del tarot que regirá tu tercero cuatrimestre será 56</t>
  </si>
  <si>
    <t>La carta del tarot que regirá tu tercero cuatrimestre será 57</t>
  </si>
  <si>
    <t>La carta del tarot que regirá tu tercero cuatrimestre será 58</t>
  </si>
  <si>
    <t>La carta del tarot que regirá tu tercero cuatrimestre será 59</t>
  </si>
  <si>
    <t>La carta del tarot que regirá tu tercero cuatrimestre será 60</t>
  </si>
  <si>
    <t>La carta del tarot que regirá tu tercero cuatrimestre será 61</t>
  </si>
  <si>
    <t>La carta del tarot que regirá tu tercero cuatrimestre será 62</t>
  </si>
  <si>
    <t>La carta del tarot que regirá tu tercero cuatrimestre será 63</t>
  </si>
  <si>
    <t>La carta del tarot que regirá tu tercero cuatrimestre será 64</t>
  </si>
  <si>
    <t>La carta del tarot que regirá tu tercero cuatrimestre será 65</t>
  </si>
  <si>
    <t>La carta del tarot que regirá tu tercero cuatrimestre será 66</t>
  </si>
  <si>
    <t>La carta del tarot que regirá tu tercero cuatrimestre será 67</t>
  </si>
  <si>
    <t>La carta del tarot que regirá tu tercero cuatrimestre será 68</t>
  </si>
  <si>
    <t>La carta del tarot que regirá tu tercero cuatrimestre será 69</t>
  </si>
  <si>
    <t>La carta del tarot que regirá tu tercero cuatrimestre será 70</t>
  </si>
  <si>
    <t>La carta del tarot que regirá tu tercero cuatrimestre será 71</t>
  </si>
  <si>
    <t>La carta del tarot que regirá tu tercero cuatrimestre será 72</t>
  </si>
  <si>
    <t>La carta del tarot que regirá tu tercero cuatrimestre será 73</t>
  </si>
  <si>
    <t>La carta del tarot que regirá tu tercero cuatrimestre será 74</t>
  </si>
  <si>
    <t>La carta del tarot que regirá tu tercero cuatrimestre será 75</t>
  </si>
  <si>
    <t>La carta del tarot que regirá tu tercero cuatrimestre será 76</t>
  </si>
  <si>
    <t>La carta del tarot que regirá tu tercero cuatrimestre será 77</t>
  </si>
  <si>
    <t>La carta del tarot que regirá tu tercero cuatrimestre será 78</t>
  </si>
  <si>
    <t>Sendero Natal (Cartas de Tarot)</t>
  </si>
  <si>
    <t>Tu primer carta del tarot es la 1</t>
  </si>
  <si>
    <t xml:space="preserve">“El Mago” Muy independiente y con naturaleza de líder. Tendrás una vida activa, llena de sucesos. Hay actividad, energía y habilidad. Sabiduría, talento y genialidad. Tienes una misión especial que cumplir. 
Lo negativo: Tener voluntad débil, falta de imaginación, usar tus conocimientos con fines perversos, arrogancia, egoísmo y despreocupación.
</t>
  </si>
  <si>
    <t>Tu primer carta del tarot es la 2</t>
  </si>
  <si>
    <t xml:space="preserve">"La Sacerdotisa" Indica prudencia. No eres muy fuerte. Preferirás mantenerte en segundo plano. Buen diplomático, mediador o pacificador. Habrá dudas en tus decisiones. Inteligencia, guía, voluntad y misterio. Sabes ver los dos lados.
Lo negativo: te deprimes fácilmente, falta de confianza en ti mismo, mentiras y falsedades y dificultades para ubicarte en la vida.
</t>
  </si>
  <si>
    <t>Tu primer carta del tarot es la 3</t>
  </si>
  <si>
    <t xml:space="preserve">"La Emperatriz" Eres expresivo y activo, con muchos amigos y admiradores. Buena comunicación. Podrás ser muy afortunado en lo económico y tu suerte se deberá a encarar la vida en forma positiva. Los viajes serán importantes.
Lo negativo: puedes tener amistades falsas, gastar más de lo que ganas, ver lo malo antes que lo bueno, ser exagerado e irresponsable.
</t>
  </si>
  <si>
    <t>Tu primer carta del tarot es la 4</t>
  </si>
  <si>
    <t xml:space="preserve">"El Emperador" Serás trabajador nato. Estabilidad, responsabilidad y honradez. Puedes ser un gran personaje, una autoridad. Lucharás por la vida material. Da poder con apoyo de otros y resultados favorables a través de esfuerzos.
Lo negativo: Serías solitario, avaro, huraño, encerrado en ti mismo, maniático del trabajo pero con miras estrechas.
</t>
  </si>
  <si>
    <t>Tu primer carta del tarot es la 5</t>
  </si>
  <si>
    <t xml:space="preserve">"El Sumo Sacerdote" Serás muy creativo y versátil. Podrás hacer cuanto te propongas en la vida. Naturaleza aventurera e inquieta. Viajar, investigar, explorar, etc. Buen consejero, fácil comunicación. Te gusta el juego, y dar noticias.
Lo negativo: chusma, peligros con vicios y placeres desmedidos, volverte impopular y nostálgico.
</t>
  </si>
  <si>
    <t>Tu primer carta del tarot es la 6</t>
  </si>
  <si>
    <t xml:space="preserve">"Los Enamorados" o "Los Dos Caminos" Serás analítico y justiciero. Te gustará cualquier tipo de arte. Conocerás tus obligaciones. Te gusta el amor, hogar y familia. Necesitarás paz, armonía y cariño para expresarte bien. Elegirás matrimonio o celibato.
Lo negativo: encerrarte como un recluso, ser muy obstinado y desarrollar complejos de mártir. Infidelidades e intrigas a tu alrededor.
</t>
  </si>
  <si>
    <t>Tu primer carta del tarot es la 7</t>
  </si>
  <si>
    <t xml:space="preserve">"El Carro de Triunfo" o "El Carro de Osiris" Tu espíritu se elevará con la música, y el arte. Solitario, pero victorioso y exitoso. Poseerás grandes facultades psíquicas o de clarividencia, y si se manifiestan fuertemente deberás dejar de lado el mundo material. 
Lo negativo: serías sombrío, frustrado, separándote de los demás, proyectos hundidos y lamentaciones inútiles.
</t>
  </si>
  <si>
    <t>Tu primer carta del tarot es la 8</t>
  </si>
  <si>
    <t xml:space="preserve">"La Justicia" Ambicionarás el poder y te comportarás como líder. Perteneces al grupo de los grandes jefes. Fuerza y gran voluntad, podrás ganar y perder más de una fortuna en tu vida. No debes descuidar el aspecto espiritual.
Lo negativo: Habría temores, egoísmos, serías despiadado y dominante y no conocerías términos medios.
</t>
  </si>
  <si>
    <t>Tu primer carta del tarot es la 9</t>
  </si>
  <si>
    <t xml:space="preserve">"El Ermitaño" Tendrás sabiduría y experiencia de la vida. Viajes. Naciste para servir a tus semejantes. Puedes convertirte en guía para los demás. Es número de prueba en la tierra. Idealista y generoso, con el don de la predicción.
Lo negativo: Servirte sólo a ti mismo, te enojarías por cualquier cosa, serías un formidable enemigo y tendrías relaciones desdichadas. Ermitaño.
</t>
  </si>
  <si>
    <t>Tu segunda carta del tarot es la 10</t>
  </si>
  <si>
    <t xml:space="preserve">"La Rueda de la Fortuna" Dirigente por naturaleza. Recompensas materiales, suerte y éxitos. Fortaleza y una misión espiritual que cumplir. Pasarás por muchos cambios buenos y malos en tu vida. Habrá repeticiones de acontecimientos.
Lo negativo: serías terco, obstinado, de ideas fijas, exageraciones, mala suerte y rupturas. 
</t>
  </si>
  <si>
    <t>Tu segunda carta del tarot es la 11</t>
  </si>
  <si>
    <t xml:space="preserve">"La Fuerza" El 11 es un número maestro, por lo tanto eres idealista, con facultades intuitivas y puedes llegar a ser un líder destacado. Buen orador y predicador, filosófico y artista. Vida de pruebas y desafíos.
Lo negativo: Actuar injustamente con los demás. Utilizar tu poder en forma peligrosa. Habría prejuicios y demasiada severidad. Poderes ocultos negativos.
</t>
  </si>
  <si>
    <t>Tu segunda carta del tarot es la 12</t>
  </si>
  <si>
    <t xml:space="preserve">"El Sacrificio" o "El Ahorcado" Deberás pagar por malas encarnaciones anteriores. Día de penitencia, expiación y sacrificio. Abnegación y martirio físico. Espera la ingratitud humana. Deberás perdonar o no serás perdonado, aún así serás altruista. Todo el bien que realices te será tenido muy en cuenta.
Lo negativo: Vida llena de contrariedades, angustias y caídas. Nacer un 12 hace la vida difícil en general, pero reconociendo las deudas interiores aliviarás las dificultades cotidianas.
</t>
  </si>
  <si>
    <t>Tu segunda carta del tarot es la 13</t>
  </si>
  <si>
    <t xml:space="preserve">"La Muerte" o "La Inmortalidad" Vida de muchos cambios y regeneración. No serás líder pero ejercerás gran atracción hacia los demás. No te quejarás demasiado y enfrentas solo tus problemas. Idealista, con ideas creativas y gran organizador. 
Lo negativo: dejarte estar sin producir nada, rodearte de malas amistades, mal carácter y peligro con drogas, bebida o actos deshonestos.
</t>
  </si>
  <si>
    <t>Tu segunda carta del tarot es la 14</t>
  </si>
  <si>
    <t xml:space="preserve">"La Templanza" o "La Temperancia" Da genialidad, acción e iniciativa. Diplomacia, ciencia y sabiduría. No aceptas teorías sin comprobarlas. Si eres precavido podrás conseguir logros económicos. Equilibras las pasiones. Fortaleza siempre a prueba. Aprendes por experiencias propias. Amistades a tu nivel.
Lo negativo: Ser muy inquieto, vehemente, desear lo que no te pertenece y so-portar separaciones conyugales.
</t>
  </si>
  <si>
    <t>Tu segunda carta del tarot es la 15</t>
  </si>
  <si>
    <t xml:space="preserve">"El Diablo" o "La Pasión" No tienes términos medios. Da fuerte magnetismo personal y un temperamento voluptuoso, con habilidad para obtener favores de los demás. Inteligente y buen estudiante. Logras lo que te propones por voluntad y perseverancia. Poderes paranormales. 
Lo negativo: Usar tus poderes para magia negra. Ser violento, sacar provecho de los errores ajenos, malicioso y colérico. Egoísmo.
</t>
  </si>
  <si>
    <t>Tu segunda carta del tarot es la 16</t>
  </si>
  <si>
    <t xml:space="preserve">"La Torre Fulminada" Estarás dominado por las emociones. Fuerte personalidad y talento para escribir y comunicarte. Una vida sujeta a grandes severidades, tempestades, conmociones y muertes de allegados. La meditación te ayudará a superar los obstáculos e infortunios que traes de vidas anteriores.
Lo negativo: Es número de catástrofe, caída y ruina. Derrotas y pérdidas económicas. Dejar atrás los egoísmos y no impacientarse ante lo inesperado.
</t>
  </si>
  <si>
    <t>Tu segunda carta del tarot es la 17</t>
  </si>
  <si>
    <t xml:space="preserve">"La Estrella Resplandeciente" Tendrás una callada fortaleza que te dará un toque de misterio. Intuitivo y buscador de lo oculto. Necesitarás períodos de soledad para meditar. Sumamente capaz. Fe, esperanza, luz interior y espiritualidad. Optimismo, genialidad, paz, caridad y amor. Viajes frecuentes.
Lo negativo: Serías testarudo, incrédulo y pesimista. Mala suerte, abandonos, defraudación de esperanzas. Tendrías que soportar muchos altibajos.
</t>
  </si>
  <si>
    <t>Tu segunda carta del tarot es la 18</t>
  </si>
  <si>
    <t xml:space="preserve">"La Luna" Será muy importante que cuides tu cuerpo y tu salud. Vida de imaginación, encantamientos y a veces espejismos. Mente fuera de lo común con habilidades curativas. Grandes deudas kármicas te exigirán la redención mediante sacrificios y amor a tus semejantes, pase lo que pase.
Lo negativo: Podrás tener amigos falsos, impedimentos inesperados podrán volverte tosco e irritable. Decepciones, engaños y traiciones.
</t>
  </si>
  <si>
    <t>Tu segunda carta del tarot es la 19</t>
  </si>
  <si>
    <t xml:space="preserve">"El Sol" Te pertenecerá la felicidad terrestre. Suerte, claridad y vida espiritual guiarán tu vida. Este número kármico ofrece recompensas y promete poder, herencia, dinero, dicha y ayudas de toda clase. Consagrarte a actos de amor, harán realidad tus ideas. 
Lo negativo: Vivirías una vida de falsedades, engaños y huidas de la realidad. Ruptura de compromisos, peligros y retrasos de los triunfos esperados.
</t>
  </si>
  <si>
    <t>Tu segunda carta del tarot es la 20</t>
  </si>
  <si>
    <t xml:space="preserve">"El Juicio" Te gustará llevar el control de las situaciones y dirigir a ser dirigido. No te guiarás por las apariencias externas de las cosas. Vida de adaptación y grandes cambios. Profundo y capaz, de opiniones correctas. Con trabajo constante, lograrás lo que te propones. Un cambio absoluto de posición, bueno o malo en algún momento de la vida. Tienes el poder de hacer y deshacer todo.
Lo negativo: Deberás dejar atrás cierta pereza. A veces podrás caer en indecisiones inexplicables.
</t>
  </si>
  <si>
    <t>Tu segunda carta del tarot es la 21</t>
  </si>
  <si>
    <t xml:space="preserve">"El Mundo" Incansable trabajador, honrado y muy justo en sus tratos. Inteligencia fuera de lo común. Piensas en grandes términos y llegas a soluciones prácticas. Posees o puedes alcanzar el poder económico. Estás llamado a contribuir a forjar el destino de tu época. Encuentras respuestas para todo. Te espera la recompensa adecuada a tus esfuerzos.
Lo negativo: Serías reacio a cambiar opiniones y no reconocer errores. Peligro con excesos de toda índole.
</t>
  </si>
  <si>
    <t>Tu segunda carta del tarot es la 22</t>
  </si>
  <si>
    <t xml:space="preserve">"El Loco" Es el segundo número maestro. Poseerás una gran conciencia cósmica, dejando tu nombre en el mundo. Te atraerán las artes y la literatura. Tendrás grandes deseos de libertad, talentoso, optimista, atractivo, con gran sabiduría para utilizar en beneficio de la humanidad. Parecerás loco para quienes no comprendan tu forma de ser. Viajes continuos.
Lo negativo: locura propiamente dicha, rebeldía injustificada, vida bohemia sin ningún logro.
</t>
  </si>
  <si>
    <t>Tu segunda carta del tarot es la 23</t>
  </si>
  <si>
    <t xml:space="preserve">"La Estrella Real del León" Aprenderás rápido, serás inteligente y capaz de imponer tus ideas a los demás. Éxitos materiales y a veces fama. Facultades para curar, facilidades para la oratoria, la escritura y el arte. Vida llena de aventuras, y oportunidades de mejorar y ayudar a los demás. Un golpe de suerte o herencia en algún momento de la vida.
Lo negativo: te creerías superior a los demás, egoísmo y arranques de furia cuando las cosas no se ajusten a lo que esperas.
</t>
  </si>
  <si>
    <t>Tu segunda carta del tarot es la 24</t>
  </si>
  <si>
    <t xml:space="preserve">"La Tejedora" Tendrás fortuna en lo que respecta al amor y la familia. Serás buen compañero, amante del hogar, los niños, los animales y la naturaleza. Generoso, paciente, muy humano y sincero. Gran sentido para los negocios. Mente creativa y perceptiva. La gente con autoridad te ayudará en tu ascenso.
Lo negativo: Serías infiel, vengativo, tirano, obstinado, celoso, con obstáculos matrimoniales y destrucción de proyectos.
</t>
  </si>
  <si>
    <t>Tu segunda carta del tarot es la 25</t>
  </si>
  <si>
    <t xml:space="preserve">"El Argonauta" Tendrás espíritu de viajero con muchos cambios de residencia a lo largo de la vi-da. Desearás adquirir conocimientos espirituales y podrías iniciar a los demás en temas ocultos. Infancia y juventud difíciles, superando más tarde los obstáculos. Alcanzarás sabiduría. Amante de la naturaleza y de vivir cerca del agua.
Lo negativo: Altibajos de conducta, negligencias, pereza, y tu presencia sería motivo de conflicto para los demás.
</t>
  </si>
  <si>
    <t>Tu segunda carta del tarot es la 26</t>
  </si>
  <si>
    <t xml:space="preserve">"El Prodigio" Entusiasmo y deseos de fama y poder. Mucho de lo que anhelas será conseguido después de adquirir sabiduría y control de ti mismo. Número kármico, te obligará a conocer este mundo a través de muchas experiencias. Impulsivo en tus afectos, buen orador y árbitro. Buen deportista, podrás sobresalir en ello. Prosperidad material. Tus relaciones actuales importantes vienen de vidas pasadas.
Lo negativo: serías indeciso y por ello fracasarías en tus empresas, pasarías por muchas tensiones emocionales y no sabrías utilizar tus capacidades.
</t>
  </si>
  <si>
    <t>Tu segunda carta del tarot es la 27</t>
  </si>
  <si>
    <t xml:space="preserve">"Lo Inesperado" Serás independiente, de gran fuerza mental y actitud positiva en a la vida. Creativo, intuitivo, no dejándote influir por nadie. Humano, justo y prudente, quieres la armonía de tu entorno y sabes ayudar a los demás en su evolución. Mente fértil y artística. Capacidad de mando y prosperidad económica.
Lo negativo: Serías confuso, vacilante, y pocas veces encontrarías el camino seguir.
</t>
  </si>
  <si>
    <t>Tu segunda carta del tarot es la 28</t>
  </si>
  <si>
    <t xml:space="preserve">"La Incertidumbre" Si meditas antes de actuar y procedes con buen juicio, te esperan grandes éxitos. Ambicioso, progresista y de mente clara. Persona de acción, sales al encuentro de las oportunidades. Talentoso, bondadoso, equilibrado y atractivo. Debes fijarte objetivos muy temprano en la vida.
Lo negativo: No tendrías equilibrio emocional, serías desconsiderado, tirano, intolerante y cometerías muchos errores.
</t>
  </si>
  <si>
    <t>Tu segunda carta del tarot es la 29</t>
  </si>
  <si>
    <t xml:space="preserve">"La Domesticidad" Tendrás una encarnación de prueba. Te atraerán las finanzas y los negocios. Capaz para realizar muchas cosas, aunque se te exija mucho hasta lograr tus anhelos. Amigos dignos de confianza te ayudarán a superar los obstáculos. Generoso, vital y entusiasta, podrás llegar al éxito.
Lo negativo: Serías tirano, indeciso, ansioso, te costaría trabajo tomar decisiones y tus proyectos terminarían en la basura.
</t>
  </si>
  <si>
    <t>Tu segunda carta del tarot es la 30</t>
  </si>
  <si>
    <t xml:space="preserve">"El Intercambio" Tendrás gran versatilidad e inteligencia, pudiéndote destacar en muchas cosas. Idealista y con dotes proféticas. Atractivo, sociable, agradable, ocuparás fácilmente puestos de importancia. En algún momento de la vida, te volcarás más hacia la filosofía religiosa que a los intereses materiales. 
Lo negativo: retrasos en tus logros a conseguir, pero a la larga podrías retomar el buen camino que este número indica.
</t>
  </si>
  <si>
    <t>Tu segunda carta del tarot es la 31</t>
  </si>
  <si>
    <t xml:space="preserve">"Los Impedimentos" No faltarán reveses en tu vida, pero éstos serán el incentivo para el desarrollo de tu personalidad. Serás un luchador combatiendo por lo que deseas. Sabrás trabajar duramente y posees un espíritu de competición. Ambicioso, si te organizas con determinación llegarás al éxito financiero. Capacitado para superar obstáculos.
Lo negativo: tendrías una existencia de luchas, serios problemas económicos, vivirías nervioso, tenso y en desarmonía con tu entorno.
</t>
  </si>
  <si>
    <t>Tu segunda carta del tarot es la 32</t>
  </si>
  <si>
    <t xml:space="preserve">"La Magnificencia" Liderazgo y capacidad de mando. Este número exige acción y fijarse metas elevadas. Deberá confiar en su intuición y en su facilidad de palabra para transmitir grandes mensajes. Tiene conocimientos de anteriores encarnaciones. Podrá alcanzar fácilmente posiciones de autoridad. Gran voluntad y geniales ideas.
Lo negativo: La dicha sería incompleta, tendría aires de superioridad, viviría una vida de artificios, y su carácter altanero lo llevaría al fracaso.
</t>
  </si>
  <si>
    <t>Tu segunda carta del tarot es la 33</t>
  </si>
  <si>
    <t xml:space="preserve">"La Alianza" Es usted Maestro de Maestros, y esto le exigirá grandes sacrificios por sus semejantes o por sus propias ideas. Dará todo sin esperar premio alguno. Honrado, creativo, ingenioso, disciplinado y muy humano. Aprecia el arte y la belleza en grado supremo. Es un reformador nato y ha nacido para construir un mundo mejor. Se espera aumento de prosperidad y felicidad si cumple con esa "alta misión".
Lo negativo: La gente abusaría de usted, lo llenarían de responsabilidades y su sacrificio sería en vano muchas veces, porque lo haría por causas sin importancia.
</t>
  </si>
  <si>
    <t>Tu segunda carta del tarot es la 34</t>
  </si>
  <si>
    <t xml:space="preserve">"La Innovación" Es persona de gran sabiduría y está conectado psíquicamente con los misterios ocultos de la vida. Inteligente, práctico, intuitivo y de gran facilidad de palabra. Se aferra a los hechos en forma rígida. En su vida existirán frecuentes viajes, la mayoría por avión. Posee determinación y busca sus objetivos con esperanza.
Lo negativo: Sería impulsivo, violento, confuso, y al querer hacer mucho, no haría nada.
</t>
  </si>
  <si>
    <t>Tu segunda carta del tarot es la 35</t>
  </si>
  <si>
    <t xml:space="preserve">"El Desconsuelo" No le faltarán en su vida disgustos y oposiciones, pero está preparado para vencerlas. También tendrá oportunidades para convertirse en líder. Hay un fuerte encanto personal, individualismo y una vitalidad inagotable. Tiene el don de saber que necesitan los demás poniendo el negocio justo en el momento justo. Este número brinda por lo general una herencia, y una sólida posición económica. También interviene en los puestos de poder.
Lo negativo: Se comportaría en forma irrazonable, habría muchos problemas de salud y viviría en forma indisciplinada.
</t>
  </si>
  <si>
    <t>Tu segunda carta del tarot es la 36</t>
  </si>
  <si>
    <t xml:space="preserve">"La Iniciación" Ve las cosas con una amplia perspectiva y es persona determinada que inspira confianza. Perseverante, logra superar obstáculos. Buen dirigente de los demás. Como es intuitivo, esto le permite ver el futuro. Posee la capacidad de hacer frente a cualquier circunstancia. Debería orientarse al servicio de sus semejantes.
Lo negativo: Habría egoísmo, altibajos continuos, y en su vida hallaría más mentiras que verdades.
</t>
  </si>
  <si>
    <t>Tu segunda carta del tarot es la 37</t>
  </si>
  <si>
    <t xml:space="preserve">"El Arte y La Ciencia" Diplomático por naturaleza, le atraen los negocios y las religiones ocultas. Es maduro, reservado y muy capaz mentalmente. Puede viajar mucho en su vida. Hay talento, y esto le ayudará a conquistar una seguridad económica. Expansivo y amistoso, su meta es el poder, pero no debe ser despiadado para llegar a él o lo pagará con creces.
Lo negativo: Cierto mal carácter puede alejarlo de sus amigos. Podría llegar a la delincuencia, habría violencias y un estado caótico en todo lo que emprenda.
</t>
  </si>
  <si>
    <t>Tu segunda carta del tarot es la 38</t>
  </si>
  <si>
    <t xml:space="preserve">"La Duplicidad" En su vida intervendrán las mujeres, algunas para bien y otras para mal. Está dotado para el arte, es muy intuitivo y muy sensible, pero su humor es como el tiempo. Es una persona muy difícil de entender, extravagante y raro. Piensa que la felicidad no depende solamente del dinero, sino también de la gente con quien comparte su vida. Buen padre, buen maestro y buen amigo, está llamado a participar en los terrenos de la educación.
Lo negativo: viviría en el aire, aterrizando muy de vez en cuando, deshonesto, perturbador y desubicado.
</t>
  </si>
  <si>
    <t>Tu segunda carta del tarot es la 39</t>
  </si>
  <si>
    <t xml:space="preserve">"El Testimonio" Idealista, filósofo, romántico y benévolo. Posee gran imaginación y una aguda inteligencia. Se ha encarnado para servir a los demás, y su deseo es contribuir al progreso de la humanidad. El amor que entregue será recompensado con creces. Una vida de muchos viajes y un posible matrimonio tardío. Imprevistas llegadas y partidas. Es conformista y por esto podrá perder oportunidades.
Lo negativo: Recibiría y provocaría defraudaciones. Sería perezoso y disfrazado de inocente.
</t>
  </si>
  <si>
    <t>Tu segunda carta del tarot es la 40</t>
  </si>
  <si>
    <t xml:space="preserve">"El Presentimiento" Planea mucho las cosas antes de tomar una decisión. Por lo general está bien informado, y se trata de una persona honrada, metódica y digna de confianza. Sabe manejar dinero e invertirlo con prudencia. Tiene gran facilidad para las matemáticas. Lo más probable es que crea en la reencarnación, y si esto fuera así contará con protecciones de su guía espiritual que lo llevará siempre por buenos senderos. Su sabiduría es buscada porque siempre sabe dar consejos útiles.
Lo negativo: Vería todo negro y esto lo conduciría a un desorden de objetivos. Además sería egoísta y solo interesado en su propio yo.
</t>
  </si>
  <si>
    <t>Tu segunda carta del tarot es la 41</t>
  </si>
  <si>
    <t xml:space="preserve">"El Desasosiego" Es inquieto y siempre en busca de lo mejor. Puede abordar muchas cosas con un considerable éxito. Es inspirado, creativo, enérgico y piensa rápido. Deberá tener cuidado con los placeres de la vida, pues puede caer en los vicios o la gula des-medida. Es luchador y sabe afrontar responsabilidades. No soporta el estar sin hacer nada, y todo lo realiza con entusiasmo. Puede conseguir rápidos y satisfactorios resultados económicos.
Lo negativo: Habrá falta de incentivos para seguir adelante. Desperdiciaría su tiempo y no pondría atención a nada.
</t>
  </si>
  <si>
    <t>Tu segunda carta del tarot es la 42</t>
  </si>
  <si>
    <t xml:space="preserve">"La Preeminencia" Honesto ante cualquier compromiso. De gran encanto personal. Es una persona generosa que comprende la necesidad ajena. Es pacificador y entregado por completo a la causa de la paz en su entorno. Le gusta lo artístico y lo místico. Está dotado para el sacerdocio. Para usted es muy importante contar con un buen hogar y amigos leales.
Lo negativo: sería infeliz y haría infelices a todos los que tuviesen trato con usted: amores, amigos, socios, etc. Tendría que vivir solo.
</t>
  </si>
  <si>
    <t>Tu segunda carta del tarot es la 43</t>
  </si>
  <si>
    <t xml:space="preserve">"La Alucinación" Es usted una persona serena, muy equilibrada y de gran intuición. Posee claridad de pensamiento y un carácter bondadoso, con un enfoque positivo de la vida y facilidad de tomar la decisión lógica en el momento oportuno. Buen consejero. Tolerante, afectuoso y gran amigo, aunque quizás no lo sean con usted. Está preparado para ocupar el centro del escenario. Probablemente en algún momento de su vida se le ofrezca participar en tareas del gobierno.
Lo negativo: sería víctima de vicios a todo nivel. Libertino, egoísta, glotón, perjudicándose a sí mismo.
</t>
  </si>
  <si>
    <t>Tu segunda carta del tarot es la 44</t>
  </si>
  <si>
    <t xml:space="preserve">"El Pensamiento" Es usted más bien materialista, con un enfoque convencional de la vida. Amante del orden y de las cosas estables. Disciplinado y constante trabajador. Ingenioso, prudente pero también sumamente arriesgado en casos de emergencia, donde se precise su ayuda. Está bien desarrollado física y mentalmente, pero es posible que haya descuidado sus facultades intuitivas, a las que debería prestar más atención.
Lo negativo: Llevaría una vida desordenada y llena de abusos, provocando un detrimento serio de la salud. Viviría descontento y frustrado.
</t>
  </si>
  <si>
    <t>Tu segunda carta del tarot es la 45</t>
  </si>
  <si>
    <t xml:space="preserve">"La Regeneración" Hay una lucha entre su sentido común y sus emociones, por lo cual debe auto controlarse, evitando los extremos. Le gusta trabajar con grupos y organizaciones enseñando y sirviendo a los demás ya que simpatiza con los menos afortunados. Como es ambivalente, podría casarse muy temprano, o permanecer soltero hasta la vejez. Se sentirá impulsado a desarrollar el psiquismo. Reservado, misterioso, secreto pero también afectuoso y generoso.
Lo negativo: habría ansiedades y temores, reales o no, y siempre viviría con una sensación de impotencia o desamparo.
</t>
  </si>
  <si>
    <t>Tu segunda carta del tarot es la 46</t>
  </si>
  <si>
    <t xml:space="preserve">"El Patrimonio" Simboliza la continuidad familiar, indicando que puede continuar con negocios paternos o maternos, a través de una herencia, donaciones, etc. Es una persona dominante, impulsiva, que sabe disimular bajo suaves palabras la fuerza de líder que lleva adentro. Sus ideales son elevados, y es capaz de crear su propio futuro. Este número por lo general, lleva a la riqueza por un trabajo bien realizado o por un golpe de suerte.
Lo negativo: La nostalgia del pasado y vivir de los recuerdos, invadiría su vida y no le dejaría ver ni el presente ni el futuro.
</t>
  </si>
  <si>
    <t>Tu segunda carta del tarot es la 47</t>
  </si>
  <si>
    <t xml:space="preserve">"La Conjetura" Posee magnetismo y encanto personal, pudiendo lograr altos cargos. Su mente es fértil y capta ideas con mucha facilidad. Trabaja eficientemente. Si bien hay una fuerte voluntad, deberá enfrentarse con muchos desafíos en la vida. No debe confundir emoción con amor, porque su inestabilidad le haría entrar en conflicto con sus seres amados. Si se fija una meta desde temprano, concretará una considerable posición económica. Sus parientes lo ayudarán mucho.
Lo negativo: Viviría en un mundo de ilusión y fantasía. Vería las cosas como usted quiere que sean y no como realmente son.
</t>
  </si>
  <si>
    <t>Tu segunda carta del tarot es la 48</t>
  </si>
  <si>
    <t xml:space="preserve">"La Consumación" Es usted digno de confianza, prudente, sincero, romántico y prefiere un modo de vida conservador. Muy capaz para cualquier arte y para el comercio. Hay un gran amor a los animales y siente una gran necesidad de protegerlos. Posee un gran sentido de responsabilidad frente a la comunidad en que vive. Si bien le atrae mucho el materialismo, sentirá que igual le falta algo cuando logre una vida cómoda, entonces se volcará hacia su lado místico. 
Lo negativo: le faltaría estabilidad mental, se desorientaría fácilmente, sería in-comprensible y muy difícil de complacer.
</t>
  </si>
  <si>
    <t>Tu segunda carta del tarot es la 49</t>
  </si>
  <si>
    <t xml:space="preserve">"La versatilidad" Este número da éxito material, seguridad y orgullo por los logros realizados en su vida. Persona equilibrada, amable, generosa y afectuosa. El éxito parece venir fácilmente. Es alguien que protege muy bien el hogar y la familia. Tiene una naturaleza psíquica muy desarrollada. Hay fuerza de carácter, pero debe utilizarla con prudencia y evitar cortarles las alas a los demás. 
Lo negativo: Sería usado por los demás, viviría en grandes tensiones, tendría exceso de trabajo no remunerado porque abusarían de su bondad y de su incapacidad para decir no.
</t>
  </si>
  <si>
    <t>Tu segunda carta del tarot es la 50</t>
  </si>
  <si>
    <t xml:space="preserve">"La Afinidad" Este número concede protección. Da éxitos y felicidad duraderos, y una vida rodeada de familia, de amigos y de afectos. Puede alcanzar el liderazgo de forma natural. Hay un gran magnetismo personal que lo hace atractivo al sexo opuesto, aunque sea en este terreno donde sufra algunas penurias. Usted se siente seguro, confiado, y tiene una protección divina. 
Lo negativo: Viviría ansioso por elevarse en la escala social, y utilizaría quizás las malas artes para ello. Sería extravagante y los fracasos superarían a los éxitos.
</t>
  </si>
  <si>
    <t>Tu segunda carta del tarot es la 51</t>
  </si>
  <si>
    <t xml:space="preserve">"El Asesoramiento" Usted posee un espíritu de guerrero, con grandes capacidades de liderazgo. También mucho sentido de justicia y gran sabiduría de vidas anteriores. Siempre se encuentra preparado, alerta y vigilante para cualquier cosa que se presente. Es buen consejero, y tiene gran dominio de sí mismo. Es valiente y se compromete. Si llega a ocupar un cargo importante en su vida, deberá cuidarse de las amistades poderosas.
Lo negativo: Sería cruel, sádico y cobarde. Muy malvado.
</t>
  </si>
  <si>
    <t>Tu segunda carta del tarot es la 52</t>
  </si>
  <si>
    <t xml:space="preserve">"La Premeditación" Bondadoso, paciente, muy inteligente con una personalidad multifacética. Absorbe conocimientos y su sabiduría lo sitúa por encima de los demás. Mucha fortaleza, incluso ante enormes tensiones. Posee tantas cualidades que a lo mejor cierra las puertas al mundo material para llevar una vida solitaria dedicada a lo espiritual. A causa de estos factores se conoce este número como productor de separación, a veces esterilidad, y en algunos casos de viudez. Usted tiene una misión que cumplir.
Lo negativo: Habría mezquindad. Viviría en forma solitaria pero solo por egoísmo. Tendría enemistades y habría mal carácter.
</t>
  </si>
  <si>
    <t>Tu segunda carta del tarot es la 53</t>
  </si>
  <si>
    <t xml:space="preserve">"El Resentimiento" Muy fuerte tanto en lo mental como en lo físico. No teme a nada. Sabe que tiene una gran tarea que cumplir y ningún obstáculo le parece difícil de vencer. Le gusta la autoridad, sabe ejercerla. Aunque suele ser severo, tiene un corazón noble y siempre actúa con motivos caballerescos. Debe cuidar una cierta agresividad. Su progreso se va a deber a su destreza y a su capacidad de mando.
Lo negativo: tendrá una actitud arrogante, bravuconadas. Una vida desordenada, con rarezas, dejando tras de sí una estela destructiva.
</t>
  </si>
  <si>
    <t>Tu segunda carta del tarot es la 54</t>
  </si>
  <si>
    <t xml:space="preserve">"El Examen" Demasiado apegado a las instituciones y a las cosas del pasado. Ingenioso, elocuente, capaz, práctico, maneja bien la palabra, lo cual lo hace un hábil comerciante, y llega a una conclusión rápida en cualquier circunstancia. Su carácter bastante inquieto, lo puede hacer perder oportunidades. Por lo general tiene un aire desenvuelto y elegante.
Lo negativo: Habría demasiada astucia y seguiría caminos tortuosos en la vida. A veces podría ser tentado por la delincuencia.
</t>
  </si>
  <si>
    <t>Tu segunda carta del tarot es la 55</t>
  </si>
  <si>
    <t xml:space="preserve">"La Contrición" En su vida no faltarán dificultades, pero después de muchas experiencias, idas y venidas, o caídas y ascensos, encontrará el camino del éxito. Usted posee espíritu de pionero. Enérgico y perceptivo, está dotado para cualquier proyecto. Es muy comunicativo y puede conocer gente de diversas clases, al igual que viajar por países extranjeros. Siempre alcanzará sus objetivos.
Lo negativo: Habría resentimiento, viviría en forma caótica vagando de un lado a otro. También habría vandalismo.
</t>
  </si>
  <si>
    <t>Tu segunda carta del tarot es la 56</t>
  </si>
  <si>
    <t xml:space="preserve">"El Peregrinaje" Es muy posible que lo que usted espera de la vida llegue más tarde de lo soñado. Ya que le gusta la variedad y no permanece demasiado tiempo en el mismo trabajo, ni sigue siempre el mismo camino. Deberá aprender la virtud de la perseverancia. Es afectuoso, leal, inteligente y no se fía de las apariencias. Le gusta la popularidad y la música. Este número no soporta las sociedades, por lo cual habrá bastantes altibajos en su vida matrimonial. Deberá pasar por muchas incertidumbres, pero aún así si se esfuerza podrá alcanzar fama, fortuna y felicidad.
Lo negativo: La timidez lo apartaría de la sociedad. Viviría descontento y se equivocaría más de la cuenta.
</t>
  </si>
  <si>
    <t>Tu segunda carta del tarot es la 57</t>
  </si>
  <si>
    <t xml:space="preserve">"La Rivalidad" Se anuncia una infancia y juventud llena de conflictos, peleas, inconvenientes de familia o personales. Recién en la mediana edad las cosas cambiarán para bien si se han hecho los esfuerzos necesarios. Siempre encontrará competencia. Deberá estimular el sentido del humor para que las situaciones no sean trágicas. Es digno de confianza y demuestra buen ánimo aunque las cosas salgan mal. Tiene talentos creativos que deberá cultivar.
Lo negativo: Viviría una vida solitaria. Habría mal humor y sus reacciones serían completamente imprevisibles por un caos interior.
</t>
  </si>
  <si>
    <t>Tu segunda carta del tarot es la 58</t>
  </si>
  <si>
    <t xml:space="preserve">"La Recapacitación" Tiene usted una rara habilidad para recuperarse del fracaso. Es buen consejero porque piensa en forma lógica. Es buen trabajador. Digno de confianza y con gran sentido de justicia. Es afectuoso, y tiene un profundo sentido del honor. Podría escribir, tiene talento. Su vida puede estar rebosante de viajes. Si bien disfruta con los demás, también lo hace en soledad. En el transcurso de su vida podrá dejar lo material para dedicarse a lo espiritual.
Lo negativo: No se arriesgaría nunca por sus convicciones, sería confuso, retraído y estaría lleno de inquietudes y desazones.
</t>
  </si>
  <si>
    <t>Tu segunda carta del tarot es la 59</t>
  </si>
  <si>
    <t xml:space="preserve">"La Revelación" Tendrá una vida llena de experiencias y de viajes. Es creativo, versátil, atractivo y eficaz, pero también es un jugador en muchos aspectos de las cosas. Puede triunfar ya que es muy ingenioso, pero deberá pasar por varios fracasos antes que lo ayudarán a madurar. Es humano, compañero y compasivo y su sensibilidad lo empuja hacia las artes. Es capaz de hacer muchas cosas, y hacerlas bien.
Lo negativo: se mostrará irresponsable, y todo se derrumbaría a su paso. Además sería demasiado indeciso en sus opiniones.
</t>
  </si>
  <si>
    <t>Tu segunda carta del tarot es la 60</t>
  </si>
  <si>
    <t xml:space="preserve">"La Evolución" Es independiente y no le agradan mucho las asociaciones. Tiene gran sabiduría de la vida y facultades curativas. Es enérgico y buen asesor, logrando el éxito en la vida con un esfuerzo continuo. Es creativo, inventivo y trabaja con fe y gran energía. Es muy seguro de sí mismo y es probable que su vida pase por muchos cambios. Este número da liderazgo, pero con mucho sentido de justicia.
Lo negativo: escuchará consejos y hará lo contrario de lo que le digan y sus empeños serían únicamente para su vanagloria en forma egoísta.
</t>
  </si>
  <si>
    <t>Tu segunda carta del tarot es la 61</t>
  </si>
  <si>
    <t xml:space="preserve">"La Soledad" Su vida no será fácil. Tendrá que atravesar por estrechos caminos llenos de contradicciones y peligros. Usted sabe que el futuro depende del pasado, y así como haya vivido, vivirá. Es intelectual, refinado y le interesa el lado oscuro de la vida, pudiendo vincularse a las ramas espirituales o permanecer soltero en algunos casos. Es una persona contradictoria y los demás lo ven evasivo, y cuando creen conocerlo es cuando les da la sorpresa.
Lo negativo: tendría imprevistas catástrofes, esperanzas fallidas y no habría vigor ni energía para conseguir lo que desea.
</t>
  </si>
  <si>
    <t>Tu segunda carta del tarot es la 62</t>
  </si>
  <si>
    <t xml:space="preserve">"La Proscripción" Usted conoce sus limitaciones y confía en que podrá superar los obstáculos. Hay intelecto, mente analítica y capaz de un minucioso trabajo. Tendrá que crearse un camino a través de duras pruebas y luchas, pero cuenta con talento para seguir adelante. Sabe aceptar responsabilidades, y es más amante de la soledad que del bullicio.
Lo negativo: Su trabajo nunca le brindaría la recompensa esperada, y jamás aprendería nada de sus propios errores. Vería las apariencias en lugar de la realidad.
</t>
  </si>
  <si>
    <t>Tu segunda carta del tarot es la 63</t>
  </si>
  <si>
    <t xml:space="preserve">"La Comunión" El sufrimiento será el compañero en muchas etapas de su vida, ya que viene de un pasado kármico, de grandes pruebas en las que fracasó. Ahora buscará la verdad y querrá trabajar a favor de sus semejantes, entregado por completo a la causa de la humanidad. Es persona independiente, con facultades artísticas y una gran percepción y clarividencia. Deberá recordar que éste número es de los mártires en alguna forma. Debe tener fe, después de grandes dolores y fracasos, su alma estará liberada de la pesada carga con la que encarnó. 
Lo negativo: Se pasaría el tiempo lamentando su suerte sin hacer nada por re-mediarla o por entender la verdad espiritual.
</t>
  </si>
  <si>
    <t>Tu segunda carta del tarot es la 64</t>
  </si>
  <si>
    <t xml:space="preserve">"La Vehemencia" Indica una vida dura y llena de pruebas, ya desde la infancia. En lo económico, tendrá que empezar desde muy abajo en la escala social. Sólo con un duro trabajo irá escalando posiciones. Demasiado individualista, quizás prefiera estar solo a casarse. También en su trabajo elegirá algo independiente. Desea fervientemente conseguir la seguridad económica, y si persevera la conseguirá. Es inteligente, honrado, práctico y responsable.
Lo negativo: Habría caos y confusión en todo lo que hiciera en su vida.
</t>
  </si>
  <si>
    <t>Tu segunda carta del tarot es la 65</t>
  </si>
  <si>
    <t xml:space="preserve">"El Aprendizaje" Simboliza todo lo mejor, ya que usted es ordenado, sistemático, maduro, capaz, perseverante, práctico y sumamente cerebral. Sin duda conocerá el éxito en algún momento de su vida. Es un líder nato, y puede conseguir poder y autoridad. Le espera un hogar feliz y confortable. Contactos a alto nivel lo ayudarán a conseguir las metas propuestas.
Lo negativo: no tendría voluntad, sería lento, inclinado al juego y a especulaciones peligrosas.
</t>
  </si>
  <si>
    <t>Tu segunda carta del tarot es la 66</t>
  </si>
  <si>
    <t xml:space="preserve">"La Perplejidad" Es una persona idealista, sociable, noble, atenta, capaz y generosa, pero muy indecisa en sus preferencias. Vacilaciones y asuntos en suspenso pueden hacerlo perder grandes oportunidades. Puede llegar a la riqueza con el apoyo de una mujer influyente. Hay sentido común, y puede conseguir una vida fácil o al menos tranquila. La verdad le sirve como regla de conducta y de integridad moral.
Lo negativo: En cuanto a gastos, sería un barril sin fondo. Viviría en forma irresponsable, dependiendo de los demás.
</t>
  </si>
  <si>
    <t>Tu segunda carta del tarot es la 67</t>
  </si>
  <si>
    <t xml:space="preserve">"La Amistad" Se adhiere usted rígidamente a la ley y el orden. Es práctico, buen trabajador y valora mucho el progreso material. Es maduro, persigue objetivos sin depender de otros. Confía en que la persistencia acabará por otorgarle lo que busca. Sabe manejar el dinero y como multiplicarlo. Tiene facultades artísticas y creativas. Tal vez no ocupe altos puestos, pero será la perfecta mano derecha de ellos. Posee una gran moral.
Lo negativo: viviría pasado de moda. Se resistiría al progreso, sería holgazán y huiría de cualquier responsabilidad.
</t>
  </si>
  <si>
    <t>Tu segunda carta del tarot es la 68</t>
  </si>
  <si>
    <t xml:space="preserve">"La Especulación" Es generoso, apasionado, estudioso, íntegro, y sumamente diligente en el cumplimiento de su deber. Buen administrador, y sabe dirigir muy bien a los demás. Cuídese de la poderosa atracción que siente hacia las cosas materiales. Siempre está atento a las nuevas ideas. Pese a ser introvertido, trata de comunicarse, so-bre todo cuando le conviene. Desea un brillante futuro económico para usted y los suyos, y es muy posible que lo consiga si lo planea con inteligencia.
Lo negativo: Se mostraría ebrio de poder, bastante tirano, intrigante y obsesiona-do con el poder económico.
</t>
  </si>
  <si>
    <t>Tu segunda carta del tarot es la 69</t>
  </si>
  <si>
    <t xml:space="preserve">"El Azar" Es pronóstico de riqueza, seguridad y comodidad material. Indica que pueden realizarse todos los deseos, ya que es uno de los mejores números. Tendrá mu-chas oportunidades para mejorar de posición. Éxitos y golpes de azar rondarán su vida. Tiene mucho talento para forjarse un camino de triunfos. Generoso, querrá contribuir con su ayuda material al progreso de las artes o la cultura. La ley del karma le dará mucho más de lo que usted brinde.
Lo negativo: No tendría fe en sus facultades. Habría codicia y el dinero sería la única meta de su existencia.
</t>
  </si>
  <si>
    <t>Tu segunda carta del tarot es la 70</t>
  </si>
  <si>
    <t xml:space="preserve">"La Cooperación" Sin duda tendrá usted una vida de movimiento. Hay muchos viajes y grandes oportunidades. Es ambicioso, prudente, sociable y diplomático. Será una vida cambiante, pero mientras se controle, llegará siempre a satisfactorios resultados. Es económico, práctico, sereno y con grandes facultades de mando para puestos de autoridad. 
Lo negativo: perdería excelentes oportunidades, por inconsistente, por temerario o por carecer de autodisciplina.  
</t>
  </si>
  <si>
    <t>Tu segunda carta del tarot es la 71</t>
  </si>
  <si>
    <t xml:space="preserve">"La Avaricia" Es usted firme, estable y muy buen trabajador, sobre todo con las manos. Tendrá realizaciones materiales a través de un duro trabajo. Disciplinado, sensible y creativo. Quizás su avance sea lento, pero a la larga lo conducirá al éxito que desea, sobre todo porque es ahorrativo y conoce el valor del dinero.
Lo negativo: se mostraría testarudo, avaro, usurero, interesado y tendría grandes ansias de poder.
</t>
  </si>
  <si>
    <t>Tu segunda carta del tarot es la 72</t>
  </si>
  <si>
    <t xml:space="preserve">"La Purificación" Es usted materialista y desea amasar fortuna, ya que es dueño de una gran ambición. De facultades prácticas, analítico, tenaz y trabajador. Tendrá oportunidades en el terreno comercial. Hay un pronóstico de fortuna por medio de su esfuerzo personal. Buscará su propia liberación a través de independencia económica. Tiene una gran fuerza de carácter. Se fija metas elevadas y puede llegar a ser un dirigente influyente en su sociedad.
Lo negativo: Las cosas se invertirían. Malgastaría dinero. Perdería todo el sentido de los buenos negocios propios del número 72 positivo.
</t>
  </si>
  <si>
    <t>Tu segunda carta del tarot es la 73</t>
  </si>
  <si>
    <t xml:space="preserve">"El Amor y el Deseo" Pasará usted por problemas, por desempleos y momentos de pobreza e inseguridades. Debe tratar de no perder nunca la esperanza y tener confianza en sí mismo. En esta vida deberá adquirir sabiduría. En su personalidad se brindan factores que pueden brindarle ciertos milagros a través de su vida, sobre todo porque es honrado, idealista y no conoce la falsedad.
Lo negativo: La ruina se insinuaría en su vida más de una vez, tendría muchas penas, tanto físicas como materiales y su desarrollo sería sumamente lento.
</t>
  </si>
  <si>
    <t>Tu segunda carta del tarot es la 74</t>
  </si>
  <si>
    <t xml:space="preserve">"La Ofrenda" Tendrá una vida equilibrada, quizás a través de negocios o como dirigente de grupos sociales. Aunque se le exige más que a otros, también obtendrá más a cambio ya que este número equilibra deudas kármicas. Es usted idealista. Tiene inclinaciones científicas y sociales. Muy popular entre el sexo opuesto. Es independiente y tiene confianza en sí mismo.
Lo negativo: No haría nada por nadie, viviría en forma fraudulenta y se dejaría ganar por la avaricia.
</t>
  </si>
  <si>
    <t>Tu segunda carta del tarot es la 75</t>
  </si>
  <si>
    <t xml:space="preserve">"La Generosidad" Usted cuenta con lo más importante para triunfar: carácter práctico y ambición. Se mantiene firme e independiente. Con esfuerzo puede lograr fama y una inmejorable posición económica. Se toma la vida muy en serio. Tiene los pies bien plantados sobre el suelo. Puede alcanzar un nivel superior al que haya nacido gracias a su capacidad y determinación.
Lo negativo: Las cosas se escaparían de sus manos. Fracasaría por no poner interés en lo que realiza o por un trabajo incompleto.
</t>
  </si>
  <si>
    <t>Tu segunda carta del tarot es la 76</t>
  </si>
  <si>
    <t xml:space="preserve">"El Dispensador" Gente de gran talento y hasta de genios nacen bajo la influencia de este número. Se destaca en todo lo que emprenda, es más bien autodidacta y por lo general trabaja solo. Tiene un pensamiento claro y gran lógica para tomar decisiones. Es analítico, organizador y planea muy bien los detalles. El éxito le espera siempre que esté dispuesto a desarrollar todos sus talentos. No olvide conceder tiempo a su despertar espiritual.
Lo negativo: Nunca podría hacer uso de sus capacidades porque las emplearía mal y viviría una vida de fraude, falsificando la realidad.
</t>
  </si>
  <si>
    <t>Tu segunda carta del tarot es la 77</t>
  </si>
  <si>
    <t xml:space="preserve">"La Desorientación" Comprende usted muy bien a los demás y ellos se sienten atraídos por su simpatía, pero su humor puede ser un poco cambiante, a veces contento y otras demasiado serio. Es extremadamente sensible pero imaginativo y creativo. Se desenvuelve con destreza en muchas actividades en especial la vida pública. En usted hay un cierto porte aristócrata, que quizás venga de una vida pasada.
Lo negativo: No faltarían molestias, preocupaciones y desorientaciones en su vida.
</t>
  </si>
  <si>
    <t>Tu segunda carta del tarot es la 78</t>
  </si>
  <si>
    <t xml:space="preserve">"El Renacimiento" Usted estará muy relacionado directa o indirectamente con su familia, ya sea por hazaña de alguno de sus antepasados, o bien por el apellido que lleve. Puede ser integrante de alguna empresa de orden familiar. Como este es el número final, indica que usted ha llegado a grandes conocimientos tanto en lo material como en lo espiritual. Hay enorme potencia, idealismo, y una naturaleza equilibrada. Extrovertido, seguro, confiable y humano. Se espera una vida plena, agradable y armónica. 
Lo negativo: Sus parientes se pondrían en su contra, y usted podría vivir amarga-do, perder dinero, amistades y hasta salud en muchos casos.
</t>
  </si>
  <si>
    <t>Salud y Espíritu 1</t>
  </si>
  <si>
    <t>La relación entre tu espíritu y tu salud es 1</t>
  </si>
  <si>
    <t xml:space="preserve">Lo que pide tu espíritu: Libertad y mucho espacio para desarrollar y potenciar lo mejor de ti. Disfrutas de la vida y la sensación que producen en ti las pequeñas sorpresas que te acerca el día a día. Aprendes a través de la experiencia. Tu propio camino es el Maestro.
Como influye en tu salud: Tu desafío es mantener en alto tu vitalidad natural. Tu sistema digestivo es sensible a tu modo de vida. El estrés puede ocasionarte trastornos nerviosos. Recurre a la psicoterapia para desatar tensiones. Anótate de una vez en el gimnasio y sé constante.
</t>
  </si>
  <si>
    <t>La relación entre tu espíritu y tu salud es 2</t>
  </si>
  <si>
    <t xml:space="preserve">Lo que pide tu espíritu: Alegría, movimiento, energía vital, momentos intensos. Explora tu capacidad de expresión a través de la pintura, el dibujo, la escritura o el cine. Escucha tu intuición y sigue sus latidos.
Como influye en tu salud: Tu armonía natural juega a favor en tu alimentación y en tus costumbres pausadas y balanceadas. Puedes potenciar tu equilibrio natural con la práctica de yoga, meditación, Pilates o ejercicios sencillos de elongación y estiramiento. Las noches son el momento en el que desarrollas la mayor energía, aprovéchalas creando una rutina sencilla que incluya ejercicios aeróbicos como trotar o correr. Hidrata tu cuerpo y presta atención a la retención de líquidos.
</t>
  </si>
  <si>
    <t>La relación entre tu espíritu y tu salud es 3</t>
  </si>
  <si>
    <t xml:space="preserve">Lo que pide tu espíritu: Espacio para la creatividad. Oportunidades para que puedas desplegar todos tus talentos, tu inteligencia y tu facilidad de aprendizaje. Aliméntalo con arte e ideas, y busca canales para expresarte con libertad, sin barreras.
Como influye en tu salud: Eres hiperactivo, no puedes estar un minuto quieto. Vas de un lado a otro dejándote llevar por tu inmensa energía. Esto puede afectarte negativamente. Eres propenso al estrés. A pesar de tu actitud, generalmente positiva, caer enfermo o estar convaleciente pueden llegar a deprimirte. Busca alimentarte con verduras verdes: apio, acelga, espinaca, lechugas, berro; adereza tus comidas con limón. No abuses de la bohemia y las reuniones con amigos hasta altas horas de la noche, tu cuerpo se resentirá.
</t>
  </si>
  <si>
    <t>La relación entre tu espíritu y tu salud es 4</t>
  </si>
  <si>
    <t xml:space="preserve">Lo que pide tu espíritu: Trabajo. Esencialmente, tu espíritu necesita estar constantemente ocupado. No desea libertad, porque ya la tiene: es el espacio que tú has creado y cercado, con tus metas, objetivos, proyecciones e intereses materiales.
Como influye en tu salud: Te cuesta dedicar tiempo a disfrutar del aire libre, del descanso y esto deviene en estados de agotamiento. En tu alimentación eres riguroso, pero no abuses de las dietas; no te reserves si tienes un antojo especial de vez en cuando. Siempre ten a mano esencias aromáticas para relajarte y reposar. La meditación y el yoga no te deberían faltar; te ayudarán a mantener la relajación y prevendrán el estrés.
</t>
  </si>
  <si>
    <t>La relación entre tu espíritu y tu salud es 5</t>
  </si>
  <si>
    <t xml:space="preserve">Lo que pide tu espíritu: Impulsos, motivaciones. Tener razones para una búsqueda constante. Objetivos para divertirte, mantener activos los cinco sentidos y potenciarlos.
Como influye en tu salud: Evita el cansancio y el estrés provenientes de la extrema actividad. Tu alimentación es irregular y poco balanceada y puedes sufrir daños en el sistema digestivo. Combina tu curiosidad gastronómica con comida casera y agua en abundancia.
</t>
  </si>
  <si>
    <t>La relación entre tu espíritu y tu salud es 6</t>
  </si>
  <si>
    <t xml:space="preserve">Lo que pide tu espíritu: Ideales que llevar a cabo. Tu alma se alimenta del sueño que involucra a muchos: tu comunidad, sociedad, familia, quienes te conmueven de alguna forma, llegan a tu corazón y lo hacen latir con más fuerza.
Como influye en tu salud: Sufres mucho con cualquier error mínimo o detalle que se te escapa. Las tareas del hogar y la familia consumen tus energías vitales y te desequilibran físicamente. Cuida de tu espacio, no temas a la soledad como forma de equilibrio emocional. Tiendes a somatizar enfermedades. Practica yoga, meditación, camina solo en las mañanas. Muchas verduras, agua y frutas serán de gran ayuda para aliviar tu tensión.
</t>
  </si>
  <si>
    <t>La relación entre tu espíritu y tu salud es 7</t>
  </si>
  <si>
    <t xml:space="preserve">Lo que pide tu espíritu: Lecturas, paz y tranquilidad para pensar, desarrollarte intelectualmente y meditar. Tus metas intelectuales son altísimas y debes encontrar el espacio necesario para cumplirlas. Tu alma necesita que tu mente se desarrolle en su máxima expresión.
Como influye en tu salud: Tiendes a ser hipocondríaco y a ver enfermedades en donde no las hay. No te alimentas a conciencia y el ejercicio que haces es casi nulo. Esto te afectará a corto o largo plazo: no dejes que cedan estas costumbres en ti. Comienza con rutinas sencillas, pero motívate a hacer actividades deportivas al aire libre y a comer ensaladas y comida sana. Date gustos, consiéntete. Hazte amigo de los deportes o la danza. Sueles irritarte por asuntos mínimos, ten cuidado con esto porque tu sistema digestivo se resiente fácilmente.
</t>
  </si>
  <si>
    <t>La relación entre tu espíritu y tu salud es 8</t>
  </si>
  <si>
    <t xml:space="preserve">Lo que pide tu espíritu: Que no lo tengas prisionero de tu materialidad. Si te sientes ahogado o inmerso en tu laberinto, una voz interior, que debes saber escuchar, hablará por tu alma pidiendo acercamientos sentimentales, el descanso de tu cuerpo y mente y bajar un par de revoluciones a tu carrera por el poder.
Cómo eres con tus seres queridos. Eres un padre amoroso y dedicado. No eres de hacer labores en casa, pero te preocupas del orden y la alimentación de los tuyos con especial esmero. Inspiras valor a tus amigos para que salgan adelante y superen sus dificultades.
Como influye en tu salud: Eres terco, tozudo. Tu cuerpo exige que le prestes atención, pero no lo haces. Sueles sufrir afecciones como dolores de cabeza y dolencias en los huesos y el hígado. Evita las grasas y las bebidas alcohólicas y presta más atención a los alimentos que contengan calcio y proteínas. Elige actividades físicas suaves.
</t>
  </si>
  <si>
    <t>La relación entre tu espíritu y tu salud es 9</t>
  </si>
  <si>
    <t xml:space="preserve">Lo que pide tu espíritu: Compasión por el prójimo. Tu alma está llena de ideales altruistas y de deseos de bien. No admite que la mitad del mundo pueda ser cruel, ni que haya seres inhumanos. Tu espíritu quiere espacio y tiempo para entregarse sin esperar nada de vuelta.
Como influye en tu salud: Eres propenso a contraer enfermedades contagiosas y a las alergias. También a las caídas y los accidentes, sobre todo los que implican afecciones superficiales en piel y músculos. Es recomendable que hagas tratamientos de medicina alternativa y cuides tu alimentación.
</t>
  </si>
  <si>
    <t>Arquetipo de Amante</t>
  </si>
  <si>
    <t>Tu arquetipo de amante es 1</t>
  </si>
  <si>
    <t xml:space="preserve">Dominante y receloso.
Vida en Pareja: Generalmente, prefieres que tu pareja no sea muy posesiva, más bien que no se resista a tus deseos. Para que la relación funcione, la persona elegida debe aceptar tu necesidad de protagonismo. Entre tus defectos, lo que más te marca es que eres bastante celoso y el deseo constante de acaparar a tu pareja.
Vida Sexual: En el área sexual, te agrada tomar la iniciativa y no acostumbras a dudar luego de marcar tu objetivo, ya que eres una persona muy segura de ti misma.
Esta confianza hace que inicies la conquista en cuanto percibes la menor señal por parte de la otra persona. Pero, a veces puedes interpretar de forma errónea estos signos y ver algo donde en realidad no lo hay, y ello en ocasiones resulta un poco brusco o desconcertante para los demás.
En general, prefieres dominar a ser dominado. Tratas de imponer tu razón en el plano sexual y incluso, consideras que tu visión del sexo es la única válida. Los hombres que pertenecen a este grupo suelen estar muy preocupados por demostrar m virilidad. Las mujeres por el contrario, si su personalidad no está bien asentada, evitan tomar la iniciativa.
</t>
  </si>
  <si>
    <t>Tu arquetipo de amante es 2</t>
  </si>
  <si>
    <t xml:space="preserve">Afectuoso y romántico
Vida en Pareja: En pareja, son muy afectuosos, románticos y delicados. Requieren expresar sus sentimientos y su gran sensibilidad. Puedes llegar a ser muy dependiente y absorbente, ya que te gusta sentirse amado y deseado en todo momento. Y por eso, no dudan de volcarse por completo en su pareja.
Vida Sexual: Has de sentir confianza, cariño y tener una conexión emocional con una persona, antes de aceptar su proposición sexual. Así, durante el proceso de acercamiento, intentas desvelar cuáles son sus deseos íntimos para conocer si entre los dos puede haber un buen vínculo. Hay situaciones que te gusta juguetear a crear falsas expectativas, ya que disfrutas con las reacciones de los demás ante tus provocaciones. Considerando que tienes unas grandes dotes interpretativas y resultas muy indiscutible a la hora de fingir tus emociones. Considera que esta actitud puede ponerte en situaciones complicadas, especialmente si la otra persona implicada no un no por respuesta.
Para los hombres, el poseer esta vibración puede darles una aureola de sensibilidad y delicadeza. Mientras que para la mujer es un número que representa el papel que tradicionalmente se le ha asignado. A ellas les gusta la ropa sexy y adoptar una posición pasiva.
</t>
  </si>
  <si>
    <t>Tu arquetipo de amante es 3</t>
  </si>
  <si>
    <t xml:space="preserve">El gran fascinador
Vida en Pareja: En las relaciones de pareja, te muestras muy romántico y con cierta predisposición a idealizar a la persona estimada. Dispones de una gran cabida para dejarte llevar por la pasión, pero en muchas ocasiones te desanimas del amor con la misma facilidad que te has enamorado.
Vida Sexual: Con la palabra y del poder de convicción que poseen, pueden realizar muchas conquistas que concluyan en un encuentro sexual. Pese a ello, suelen perder ese interés inicial con mucha facilidad, provocando que la otra persona se sienta defraudada por su actitud.
Su sexualidad es bastante imaginativa y consideran primordiales las fantasías. Siempre que puedan trataran de realizarlas y para ello buscaran a la persona que sea receptiva y que quiera entrar en ese mundo ideal. Otras veces, se conformaran con que esas ilusiones existan solamente en su cabeza, sin penuria de ir más allá.
Para seducirles, hay que dirigirse primero a su mente y luego a su cuerpo. De esta manera, tu pareja y tú descubriréis juntos el máximo placer y lograréis disfrutar unidos al opulento mundo interior.
</t>
  </si>
  <si>
    <t>Tu arquetipo de amante es 4</t>
  </si>
  <si>
    <t xml:space="preserve">Tradicional y entregado
Vida en Pareja: Básicamente son muy tradicionales en su forma de pensar y actuar, así que buscaran una pareja que les permita mantener una relación bastante conservadora y sin grandes sobresaltos. Si bien acogen grandes sentimientos, demostrarlos no se les da muy bien y nunca dispensarían que alguien los traicionara.
Vida Sexual: Te fascina explorar el cuerpo de tu pareja con el fin de encontrar los puntos de mayor sensibilidad, es el máximo placer sexual.
Eres metódico, meditando todo antes de realizar el siguiente paso, pero cuando llega el momento, te entregas de lleno y actúas como un amante volcado en satisfacer a su pareja. En este aspecto, no escatimarás ningún esfuerzo.
Posees un punto de vista muy tradicional sobre el sexo y puedes mostrarte parco ante la sola idea de probar nuevas practicas.
Tampoco comprendes demasiado la importancia de las fantasías sexuales en la relación de pareja, esto hace que pueda llegar a convertirse en rutinarios los encuentros. Aún así, terminas por aceptar situaciones con las que no estás del todo de acuerdo, y con tal de compensar los apetitos de tu pareja.
</t>
  </si>
  <si>
    <t>Tu arquetipo de amante es 5</t>
  </si>
  <si>
    <t xml:space="preserve">El más emancipado
Vida en Pareja: La pareja que requieren les debe permitir desarrollar su personalidad y que respeten su territorialidad. Huirán en todo momento de la rutina y el estancamiento, lo que puede hacer que actúen de forma imprudente y que se dejes llevar por tus impulsos más que por la razón.
Vida Sexual: Son personas que dan gran importancia a los sentidos y que necesita de la presencia de todos ellos en el contacto sexual. Pero si existe la circunstancia en que se sienta presionados, preferirán dejar pasar la oportunidad, ya que estiman por sobre todo su libertad personal.
Versátil y abierto a nuevas ideas o juegos, puedes llegar a ser unos especialistas en la materia, ya que adquieren un gran conocimiento de sus variadas experiencias.
En el transcurso de su vida, pasa por épocas de búsqueda, marcadas por tu avidez de probar nuevas sensaciones o de descubrir y definir su identidad sexual.
Una vez logrado este objetivo, trataran de encontrar una persona que posea toda una lista de requisitos. Y si la pareja elegida no se adapta a la idea que tú tenías, se producirán muchas tensiones.
No siempre precisas que el amor y el sexo vayan fusionados. Pero será indispensable que confíen en sus amantes y que se percaten que su afán de libertad no peligra.
</t>
  </si>
  <si>
    <t>Tu arquetipo de amante es 6</t>
  </si>
  <si>
    <t xml:space="preserve">Sensual y atractivo
Vida en Pareja: Son seres muy hogareños, románticos y sensibles. Les deleita vivir inclinados a la vida familiar, por lo que se encontraran muy a gusto con una pareja responsable que tenga exactamente esas mismas inquietudes y en especial, que conceda la misma importancia al hogar.
Vida Sexual: Su idea del sexo es que representa la expresión última del amor. Por lo que consideran fundamental la seducción y rechazan cualquier ofrecimiento que no posea ciertas dosis de romanticismo.
Les agrada ser complaciente con su pareja y hacer que disfrute al máximo, así que no escatimarás ni tiempo ni esfuerzo para lograr este objetivo.
Sensual y dotado de un atractivo muy especial, con el tiempo y la experiencia adquieren una gran maestría en el arte de la seducción. Conocen la importancia de cuidar su apariencia con la vestimenta, e incluso, de provocar con ella.
El conjunto de estas cualidades hará que vivas entornos muy divertidas, dónde el juego y la sorpresa son las claves. A las mujeres de esta vibración numérica les rodearan un buen número de pretendientes.
En cambio, los hombres se diferencian por su capacidad para transmitir afecto y seguridad a su pareja
</t>
  </si>
  <si>
    <t>Tu arquetipo de amante es 7</t>
  </si>
  <si>
    <t xml:space="preserve">Discreto e imaginativo
Vida en Pareja: Personas reservadas y con dificultades para expresar sus sentimientos, su pareja debe comprender que detrás de esa aparente frialdad se esconde una persona que la valora y la respeta. Hazle saber que el simple hecho de formar parte de esa órbita más intima simboliza que la aceptas plenamente.
Vida Sexual: Son personas con un gran mundo interior y dispuestas a realizar todas las fantasías que le parezcan atractivas, pero con alguien que sea de absoluta confianza y que guarde una gran reserva respecto a los secretos de alcoba.
Consiguen sentir una gran seducción por los fetiches sexuales y que éstos te abran las puertas de una sexualidad desinhibida y abierta.
Como necesitan profundizar en el conocimiento sexual, buscaran toda la información a su alcance, especialmente en la adolescencia y luego, en el transcurso de su vida, posiblemente intentaran de poner en práctica ese saber.
Dan mucho valor al juego amoroso y a la seducción, e incluso pueden prescindir del acto sexual en si, ya que tendrá más interés la satisfacción emocional y mental que la exclusivamente física.
La práctica del control de la respiración, así como las técnicas tántricas de retraso del orgasmo, pueden aumentar su placer a fronteras insospechadas.
</t>
  </si>
  <si>
    <t>Tu arquetipo de amante es 8</t>
  </si>
  <si>
    <t xml:space="preserve">Fuerte e inflexible
Vida en Pareja: Buscaran a la pareja que les permita desarrollar su vida profesional, incluso cuando esto implique descuidar en algunas situaciones su vida privada. Asimismo, reclaman una entrega total por parte de la persona amada, lo que en situaciones le puede hacer sufrir por celos
Vida Sexual: Son individuos con un enorme atractivo sexual, y disfrutan mostrándose fuertes y dominantes, así como integrándose a las diferentes recreaciones de alcoba, desde los más románticos a los más carnales.
Les agradaría consumar todas sus fantasías y las de su pareja, por lo que no vacilaran en poner todos los medios a tu alcance hasta conseguirlas.
Suelen esperar una gran reciprocidad de su pareja y pesan con exactitud para comprobar si reciben, al menos, lo mismo que dan. Cuando así sucede, se convierten en el amante capaz de brindar un placer extremo.
Pero, si no existe un mínimo de armonía en la relación, puede acabar tratando a su pareja ocasional como un elemento para satisfacer tus necesidades de modo egoísta.
En el caso del hombre, su carisma le marca como atractivo. En las mujeres, su supuesto dominio de la situación y su fuerte carácter hace que algunos hombres lo vean como un elemento de riesgo.
</t>
  </si>
  <si>
    <t>Tu arquetipo de amante es 9</t>
  </si>
  <si>
    <t xml:space="preserve">Idealista e intelectual
Vida en Pareja: Exiges mucho a tu pareja y perdonas con dificultad los fallos ajenos, sin embargo eres muy indulgente con los tuyos. Además, en ocasiones tus expresiones de amor son más testimoniales que reales, pero por norma general eres apasionado y romántico. Eso sí, te cuesta entregarse al cien por cien.
Vida Sexual: En general, son personas capaces de adaptarse a todo tipo de situación, pese a ello, a veces se muestran contradictorios e intentan plasmar sus deseos y pasiones inverosímiles de realizar.
Tienden a idealizar el encuentro sexual con la persona que les atrae, lo que les puede llevar a sufrir ciertos reveses, ya que su pareja no siempre estará a la altura de las expectaciones creadas en su imaginación.
Gozan ampliando al límite su conocimiento teórico en el ámbito sexual para luego poner en práctica todas las técnicas que puedan dar el máximo deleite a la persona amada.
En otras situaciones, no se muestran tan generosos con su pareja y viven la sexualidad como una forma más de liberar sus tensiones.
Normalmente, son muy conscientes del potencial del sexo en las relaciones humanas, siempre y cuando sean escrupulosos y no traten de aprovecharse de dicho poder.
</t>
  </si>
  <si>
    <t>Vincular</t>
  </si>
  <si>
    <t>Como tu sendero natal suma 1, tu manera de vincularte es la siguiente</t>
  </si>
  <si>
    <t xml:space="preserve">Con un 1: ambos son líderes, muy activos e individualistas, lo cual generalmente produce tensión. En un vínculo afectivo, deben aprender a ceder y buscar cooperar el uno con el otro.
Con un 2: muy buena relación, ya que al 2 le gusta secundar, apoyar, cooperar y al 1, dirigir. Puede ser una pareja muy creativa si el 2 no se vuelve demasiado dependiente.
Con un 3: buena combinación. Son dos números dinámicos, unen acción y creatividad, los que les permite, si se enfocan en una meta, tener logros concretos y estabilidad.
Con un 4: el 1 es innovador y el 4, convencional. Esto puede aburrir al 1, pero puede darse una buena relación ya que el 4 es trabajador y le gusta que le den pautas para realizar tareas. Es una buena dupla para el trabajo y, juntos, pueden generar grandes cambios si el 1 pone de su iniciativa e inventiva y el 4 de su sentido práctico y detallismo.
Con un 5: se da afinidad entre la versatilidad del 5 y las ideas originales del 1. Ambos son dinámicos, inquietos innovadores y pueden generar un vínculo armonioso si se respetan sus libertades. Deben proporcionarse momentos de encuentro, más allá de la gran actividad diaria de cada uno. El uno ama la libertad y al 1 no le gusta dar explicaciones.
Con un 6: es posible la concordancia si el 1 no se torna muy individualista y comprende la necesidad de afecto y compromiso del 6. El 6 debe evitar ser testarudo y querer imponer su punto de vista. Es una combinación que puede generar evolución y crecimiento espiritual.
Con un 7: los dos son números individualistas y mentales. Si no se enfocan en un objetivo en común, el 1 actuará como si estuviera solo y el 7 se refugiará en su mundo interior. Se genera conflicto porque el 1 es impulsivo, activo y le cuesta comprender los tiempos y reflexiones del 7. El 7 necesita quietud, silencio y el 1 es pura acción. Si se enfocan en aprender el uno del otro de sus diferencias puede ser una dupla poderosa y exitosa.
Con un 8: es una combinación exitosa para los logros materiales, sino se destruyen en una lucha de poder, ya que a ambos le gusta mandar y se pueden tornar agresivos.
Con un 9: ambos son activos, impulsivos. Se producen tensiones cuando el 9 lucha demasiado por sus ideales y el 1 muestra su lado más individualista. Si se ponen de acuerdo, el 1 puede darle rumbo y dirigir los idealistas y humanitarios proyectos del 9. No es una dupla muy buena para lo afectivo, ya que el 9 está más afuera de la casa queriendo salvar al mundo que para sus afectos cercanos, y el 1 tiene al individualismo.
</t>
  </si>
  <si>
    <t>Como tu sendero natal suma 2, tu manera de vincularte es la siguiente</t>
  </si>
  <si>
    <t xml:space="preserve">Con un 1: muy buena relación, ya que al 2 le gusta secundar, apoyar, cooperar y al 1, dirigir. Puede ser una pareja muy creativa si el 2 no se vuelve demasiado dependiente.
Con un 2: se da una comprensión mutual, pero hay demasiada sensibilidad, una gran emotividad que puede producir inestabilidad si no aprenden a trabajar en equipo y desarrollando sentido práctico.
Con un 3: se comprenden bien. El 3 es quien ejerce dominio en la relación: unen espontaneidad y sensibilidad, atraerán muchas amistades.
Con un 4: la sensibilidad del 2 ablanda la rigidez del 4, el 4 le enseña su sentido práctico. Si no se bloquean mutuamente, pueden lograr buena armonía en la relación.
Con un 5: por la gran sensibilidad del 2 y la sensualidad y poder de conexión del 5, se produce un buen encuentro sexual. Se producirá conflicto cuando el 2 quiera atar al 5. Pueden evolucionar juntos si el 5 aprende del sentido de cooperación e interés por las necesidades del prójimo del 2, y el 2 aprende a soltar.
Con un 6: combinación muy favorable. Ambos son sumamente afectivos y sensibles, es ideal para formar una familia, pueden lograr prosperidad y ser una pareja magnética que gozará de reuniones con amigos.
Con un 7: muy buena conexión espiritual, que produce un clima calmo y pacífico. Se darán fricciones cuando el 7 se aísle demasiado en su mundo interior, ya que el 2 necesita demostraciones de afecto y el 7 muchas veces suele ser frío y distante. El 7 debe aprender del sentido de cooperación del 2.
Con un 8: buena afinidad. El 2 se sentirá protegido y respaldado por el 8. Pueden lograr prestigio y éxito material, por la capacidad administrativa del 8 y la diplomacia del 2. El 8 debe evitar someter al 2.
Con un 9: no son demasiado compatibles. El 2 es muy sensible para el 9, necesita demostraciones de afecto y compromiso y el 9 es un idealista que quiere salvar al mundo y no necesita atarse. Si se lo proponen puede funcionar, ya que ambos gustan de ayudar a otros y pueden llegar a comprenderse, pudiendo ser inspiración para otros. Pero permanentemente deberán lidiar con las emociones fluctuantes de ambos.
</t>
  </si>
  <si>
    <t>Como tu sendero natal suma 3, tu manera de vincularte es la siguiente</t>
  </si>
  <si>
    <t xml:space="preserve">Con un 1: buena combinación. Son dos números dinámicos, unen acción y creatividad, los que les permite, si se enfocan en una meta, tener logros concretos y estabilidad.
Con un 2: se comprenden bien. El 3 es quien ejerce dominio en la relación: unen espontaneidad y sensibilidad, atraerán muchas amistades.
Con un 3: combinación divertida, creativa, afortunada y sociable que puede caer en la frivolidad, derrochar dinero y energías. Deben evitar caer en chusmeríos que causarán peleas entre ellos y el entorno.
Con un 4: no se entienden demasiado. El 3 es creativo, expansivo y libre de pensamientos. El 4 es rutinario, organizado, ahorrativo y conservador. Son opuestos, pero cada uno debería aprender del otro para evolucionar. El 4 puede ordenar un poco la vida del 3 y el 3 puede contagiarle su optimismo y creatividad.
Con un 5: son similares, sociales y divertidos, dinámicos y decididos. Difícilmente caigan en la rutina, pueden progresar con facilidad. Están destinados al éxito si no malgastan demasiado sus energías.
Con un 6: buena afinidad, se comprenden, ya que ambos disfrutan del confort, de la vida social y afectiva. Buenos anfitriones, gozarán recibiendo amigos. Se dará conflicto cuando el 6 se torne sobreprotector, posesivo o cabeza dura, coartando la necesidad de expansión del 3.
Con un 7: poca afinidad, son opuestos, el 3 es extrovertido y el 7, introvertido. Congenian en que ambos buscan la sabiduría, pero el 7 se toma su tiempo para reflexionar y profundizar en las cosas y el 3 es más impulsivo y autodidacta. Deben aprovechar para nutrirse uno del otro. El 3 puede distender un poco el perfeccionismo y aislamiento del 7. El 7 puede enseñarle a ir un poco más despacio y pensar antes de actuar.
Con un 8: una buena combinación, donde el 8 le procurará confort y respaldo al 3. El 8 es talentoso en los negocios y el 3, creativo y sociable. Pueden lograr grandes cosas si el 8 no se torna muy severo y autoritario con el 3.
Con un 9: afinidad entre ambos, unen idealismo y creatividad, Ambos son populares, sociables e impulsivos, pero deben ser cautos en cómo se manejen en el mundo material porque tienden a despilfarrar dinero. Necesitan desarrollar el sentido práctico.
</t>
  </si>
  <si>
    <t>Como tu sendero natal suma 4, tu manera de vincularte es la siguiente</t>
  </si>
  <si>
    <t xml:space="preserve">Con un 1: el 1 es innovador y el 4, convencional. Esto puede aburrir al 1, pero puede darse una buena relación ya que el 4 es trabajador y le gusta que le den pautas para realizar tareas. Es una buena dupla para el trabajo y, juntos, pueden generar grandes cambios si el 1 pone de su iniciativa e inventiva y el 4 de su sentido práctico y detallismo.
Con un 2: la sensibilidad del 2 ablanda la rigidez del 4, el 4 le enseña su sentido práctico. Si no se bloquean mutuamente, pueden lograr buena armonía en la relación.
Con un 3: no se entienden demasiado. El 3 es creativo, expansivo y libre de pensamientos. El 4 es rutinario, organizado, ahorrativo y conservador. Son opuestos, pero cada uno debería aprender del otro para evolucionar. El 4 puede ordenar un poco la vida del 3 y el 3 puede contagiarle su optimismo y creatividad.
Con un 4: muy buena afinidad que los predispone al éxito financiero gracias a sus esfuerzos. Son sumamente trabajadores, conservadores, le darán mucha importancia al aspecto económico. El peligro radica en perderse en el materialismo descuidando otros aspectos de la vida. Se da cierta fricción porque ambos son estructurados y testarudos y deben respetarse sus rutinas.
Con un 5: muy opuestos, son incompatibles. El 5 necesita cambios, libertad e innovación; el 4 necesita rutina, estructura, seguridad. El 5 se aburre con el 4 y al 4 le asusta lo imprevisible del 5. Si se lo proponen, pueden aprender el uno del otro de sus características tan opuestas. El 5 puede enseñarle al 4 a perderle temor al cambio y el 4 puede ordenar un poco la vertiginosa vida del 5.
Con un 6: buena combinación, ya que ambos son serios, responsables y prácticos. Deben encontrar el equilibrio entre el trabajo, las responsabilidades y la diversión. El 6 es el más afectivo y el 4 no es demostrativo. El 6 se ocupará de cuidar y embellecer su entorno, mientras que el 4 establecerá rutinas y se dedicará al trabajo detallista. Ambos son cabeza dura y en ello radicará la causa de cualquier conflicto.
Con un 7: pueden concordar porque tienen objetivos y formas de actuar parecidos. El 4 es metódico y poco efusivo; el 7 es perfeccionista y solitario. Será una dupla poco afectiva y pasional. El 4 puede ayudar al 7 a concretar sus ideas y usar en forma práctica su sabiduría. El 7 puede ayudarle al 4 a elevar su interés sobre el mundo material, hacia el plano mental y espiritual.
Con un 8: ambos son materialistas, tienen intereses similares, pero en la relación afectiva el 8 tiende a anular al 4, por su gran autoridad y esto produce tensiones. Si se ponen de acuerdo el 4 aceptará las ideas amplias y ambiciosas del 8 y trabajará hacia una meta en común ocupándose del trabajo detallista.
Con un 9: son muy distintos, se produce desacuerdo. El 9 es muy idealista para el práctico 4 y el 9 se aburre con el convencionalismo del 4.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4 le enseñara su sentido práctico y manejo del plano material y el 9 le enseñara su idealismo, coraje, infundiéndole sabiduría y experiencia de vida.
</t>
  </si>
  <si>
    <t>Como tu sendero natal suma 5, tu manera de vincularte es la siguiente</t>
  </si>
  <si>
    <t xml:space="preserve">Con un 1: se da afinidad entre la versatilidad del 5 y las ideas originales del 1. Ambos son dinámicos, inquietos innovadores y pueden generar un vínculo armonioso si se respetan sus libertades. Deben proporcionarse momentos de encuentro, más allá de la gran actividad diaria de cada uno. El uno ama la libertad y al 1 no le gusta dar explicaciones.
Con un 2: por la gran sensibilidad del 2 y la sensualidad y poder de conexión del 5, se produce un buen encuentro sexual. Se producirá conflicto cuando el 2 quiera atar al 5. Pueden evolucionar juntos si el 5 aprende del sentido de cooperación e interés por las necesidades del prójimo del 2, y el 2 aprende a soltar.
Con un 3: son similares, sociales y divertidos, dinámicos y decididos. Difícilmente caigan en la rutina, pueden progresar con facilidad. Están destinados al éxito si no malgastan demasiado sus energías.
Con un 4: muy opuestos, son incompatibles. El 5 necesita cambios, libertad e innovación; el 4 necesita rutina, estructura, seguridad. El 5 se aburre con el 4 y al 4 le asusta lo imprevisible del 5. Si se lo proponen, pueden aprender el uno del otro de sus características tan opuestas. El 5 puede enseñarle al 4 a perderle temor al cambio y el 4 puede ordenar un poco la vertiginosa vida del 5.
Con un 5: muy compatibles, pero también muy cambiantes y ansiosos. Si cuidan su nerviosismo, será una dupla muy sensual, audaz, con una vida a pura adrenalina. Necesitan innovación, viajes y canalizar en actividades su gran caudal de energía para que perdure la relación, ya que a ninguno le gusta ligarse afectivamente por mucho tiempo.
Con un 6: son bastante opuestos. El perfeccionismo y responsabilidad hogareña del 6 contrastan con la libertad y falta de ataduras del 5 provocando desacuerdos. El 6 busca afecto, compromiso y el 5 busca libertad. Si aprenden cada uno un poco del otro será una relación estimulante que les aportará crecimiento.
Con un 7: son opuestos. El 5 se aburre con el 7. Demasiada velocidad y excitación por parte del 5 pueden alejar al 7, que necesita períodos de tranquilidad, introspección y meditación. El 7 puede calmar un poco la ansiedad e inquietud del 5. El 5 le infundirá pasión y experiencia al 7. Si aprovechan a aprender uno del otro se dará una relación que les aportará sabiduría.
Con un 8: no se entienden, pero puede haber concordancia si el 8 no actúa posesivamente.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5 puede enseñarle de su audacia y adaptación al cambio aflojando las tensiones y miedos del 8. El 8 puede enseñarle el manejo del plano material.
Con un 9: no hay concordancia. El 9 es demasiado idealista para el 5. El 5 no se ata a nada por mucho tiempo, ni siquiera a una causa, por lo cual ve al 9 como fanático. Este es un vínculo kármico, por lo cual tienen que aprender algo de esta relación. Hay algo pendiente de otras vidas entre ambos. Pueden sufrir fluctuaciones emocionales, son impulsivos y rebeldes. El mayor aprendizaje es aprender a respetarse sus libertades.
</t>
  </si>
  <si>
    <t>Como tu sendero natal suma 6, tu manera de vincularte es la siguiente</t>
  </si>
  <si>
    <t xml:space="preserve">Con un 1: es posible la concordancia si el 1 no se torna muy individualista y comprende la necesidad de afecto y compromiso del 6. El 6 debe evitar ser testarudo y querer imponer su punto de vista. Es una combinación que puede generar evolución y crecimiento espiritual.
Con un 2: combinación muy favorable. Ambos son sumamente afectivos y sensibles, es ideal para formar una familia, pueden lograr prosperidad y ser una pareja magnética que gozará de reuniones con amigos.
Con un 3: buena afinidad, se comprenden, ya que ambos disfrutan del confort, de la vida social y afectiva. Buenos anfitriones, gozarán recibiendo amigos. Se dará conflicto cuando el 6 se torne sobreprotector, posesivo o cabeza dura, coartando la necesidad de expansión del 3.
Con un 4: buena combinación, ya que ambos son serios, responsables y prácticos. Deben encontrar el equilibrio entre el trabajo, las responsabilidades y la diversión. El 6 es el más afectivo y el 4 no es demostrativo. El 6 se ocupará de cuidar y embellecer su entorno, mientras que el 4 establecerá rutinas y se dedicará al trabajo detallista. Ambos son cabeza dura y en ello radicará la causa de cualquier conflicto.
Con un 5: son bastante opuestos. El perfeccionismo y responsabilidad hogareña del 6 contrastan con la libertad y falta de ataduras del 5 provocando desacuerdos. El 6 busca afecto, compromiso y el 5 busca libertad. Si aprenden cada uno un poco del otro será una relación estimulante que les aportará crecimiento.
Con un 6: puede haber concordancia momentánea pero generalmente se provocan agobio entre ellos. Les gusta el compromiso, la belleza, el confort, son afectivos, pero tanta similitud puede hacerlos caer en la comodidad o sentirse agobiados de cargas familiares y responsabilidades. Les gusta debatir, son obstinados y les cuesta aceptar diferentes puntos de vista y esto será la causa de los conflictos
Con un 7: son diferentes pero la concordancia es posible, pueden complementarse, debido a que el 6 suele apoyar al 7.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6 se ocupará de lo doméstico, social y artístico y el 7 está inmerso en los mundos de la mente y el pensamiento. El peligro radica en la falta de comunicación entre ambos. Tendrían que decidir desde el principio establecer una cooperación y tomar la decisión de comunicarse. El 7 puede resultarle muy frío y distante al afectuoso 6.
Con un 8: desacuerdo debido a que se produce tensión entre los dos. Pero puede haber concordancia en algunos aspectos. Este es un vínculo karmico, por lo cual tienen que aprender algo de esta relación. Hay algo pendiente de otras vidas entre ambos. Pueden sufrir fluctuaciones emocionales, ambos querrán mandar al otro. El mayor aprendizaje es aprender a respetarse sus libertades y diferencias. El 8, por su habilidad financiera, puede procurarle el confort que el 6 necesita, el 6 se ocupará del cuidado de la familia y de embellecer su hogar.
Con un 9: buena concordancia, el 6 comparte los ideales del 9, por lo cual es posible una relación duradera, si el 6 respeta lo idealista y humanitario del 9. El 9 no se aboca de lleno a su familia, sino que se debe brindar a la comunidad, y esto causa conflictos en su entorno cercano. Pero el 6 también suele comprometerse no solo con su familia sino también con su comunidad.
</t>
  </si>
  <si>
    <t>Como tu sendero natal suma 7, tu manera de vincularte es la siguiente</t>
  </si>
  <si>
    <t xml:space="preserve">Con un 1: los dos son números individualistas y mentales. Si no se enfocan en un objetivo en común, el 1 actuará como si estuviera solo y el 7 se refugiará en su mundo interior. Se genera conflicto porque el 1 es impulsivo, activo y le cuesta comprender los tiempos y reflexiones del 7. El 7 necesita quietud, silencio y el 1 es pura acción. Si se enfocan en aprender el uno del otro de sus diferencias puede ser una dupla poderosa y exitosa.
Con un 2: muy buena conexión espiritual, que produce un clima calmo y pacífico. Se darán fricciones cuando el 7 se aísle demasiado en su mundo interior, ya que el 2 necesita demostraciones de afecto y el 7 muchas veces suele ser frío y distante. El 7 debe aprender del sentido de cooperación del 2.
Con un 3: poca afinidad, son opuestos, el 3 es extrovertido y el 7, introvertido. Congenian en que ambos buscan la sabiduría, pero el 7 se toma su tiempo para reflexionar y profundizar en las cosas y el 3 es más impulsivo y autodidacta. Deben aprovechar para nutrirse uno del otro. El 3 puede distender un poco el perfeccionismo y aislamiento del 7. El 7 puede enseñarle a ir un poco más despacio y pensar antes de actuar.
Con un 4: pueden concordar porque tienen objetivos y formas de actuar parecidos. El 4 es metódico y poco efusivo; el 7 es perfeccionista y solitario. Será una dupla poco afectiva y pasional. El 4 puede ayudar al 7 a concretar sus ideas y usar en forma práctica su sabiduría. El 7 puede ayudarle al 4 a elevar su interés sobre el mundo material, hacia el plano mental y espiritual.
Con un 5: son opuestos. El 5 se aburre con el 7. Demasiada velocidad y excitación por parte del 5 pueden alejar al 7, que necesita períodos de tranquilidad, introspección y meditación. El 7 puede calmar un poco la ansiedad e inquietud del 5. El 5 le infundirá pasión y experiencia al 7. Si aprovechan a aprender uno del otro se dará una relación que les aportará sabiduría.
Con un 6: son diferentes pero la concordancia es posible, pueden complementarse, debido a que el 6 suele apoyar al 7.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6 se ocupará de lo doméstico, social y artístico y el 7 está inmerso en los mundos de la mente y el pensamiento. El peligro radica en la falta de comunicación entre ambos. Tendrían que decidir desde el principio establecer una cooperación y tomar la decisión de comunicarse. El 7 puede resultarle muy frío y distante al afectuoso 6.
Con un 7: ambos poseen mucha vida interior, profundidad de pensamiento. Deben proponerse conectarse más con la pareja, bajar a tierra. Este es un vínculo karmico, por lo cual tienen que aprender algo de esta relación. Hay algo pendiente de otras vidas entre ambos. Pueden sufrir fluctuaciones emocionales, pero que tienen muchas probabilidades de trasmutar. El mayor aprendizaje es aprender a respetarse sus libertades y respetarse sus momentos de silencio y soledad.
Con un 8: no se entienden en absoluto, lo cual genera conflicto. El 8 es dominante y el 7 se aísla en el mundo de las ideas o lo espiritual. El 7 puede enseñarle al 8 a relajarse y encontrar el equilibrio entro lo material y espiritual. El 8 puede enseñarle al 7 el manejo del dinero, lo cual puede resultar en una combinación muy efectiva donde unan intuición y sentido práctico.
Con un 9: en lo afectivo, se da una frágil concordancia. Este es un vínculo kármico, por lo cual tienen que aprender algo de esta relación. Hay algo pendiente de otras vidas entre ambos. Deben actuar con ética, fidelidad y honestidad mutuamente, sino será una relación caótica. El 7 no comprenderá la impulsividad del 9, pero simpatizará con sus altos ideales. Se da una buena afinidad espiritual, porque persiguen metas elevadas, para ninguno la vida de pareja es prioritaria.
</t>
  </si>
  <si>
    <t>Como tu sendero natal suma 8, tu manera de vincularte es la siguiente</t>
  </si>
  <si>
    <t xml:space="preserve">Con un 1: es una combinación exitosa para los logros materiales, sino se destruyen en una lucha de poder, ya que a ambos le gusta mandar y se pueden tornar agresivos.
Con un 2: buena afinidad. El 2 se sentirá protegido y respaldado por el 8. Pueden lograr prestigio y éxito material, por la capacidad administrativa del 8 y la diplomacia del 2. El 8 debe evitar someter al 2.
Con un 3: una buena combinación, donde el 8 le procurará confort y respaldo al 3. El 8 es talentoso en los negocios y el 3, creativo y sociable. Pueden lograr grandes cosas si el 8 no se torna muy severo y autoritario con el 3.
Con un 4: ambos son materialistas, tienen intereses similares, pero en la relación afectiva el 8 tiende a anular al 4, por su gran autoridad y esto produce tensiones. Si se ponen de acuerdo el 4 aceptará las ideas amplias y ambiciosas del 8 y trabajará hacia una meta en común ocupándose del trabajo detallista.
Con un 5: no se entienden, pero puede haber concordancia si el 8 no actúa posesivamente.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5 puede enseñarle de su audacia y adaptación al cambio aflojando las tensiones y miedos del 8. El 8 puede enseñarle el manejo del plano material.
Con un 6: desacuerdo debido a que se produce tensión entre los dos. Pero puede haber concordancia en algunos aspectos. Este es un vínculo karmico, por lo cual tienen que aprender algo de esta relación. Hay algo pendiente de otras vidas entre ambos. Pueden sufrir fluctuaciones emocionales, ambos querrán mandar al otro. El mayor aprendizaje es aprender a respetarse sus libertades y diferencias. El 8, por su habilidad financiera, puede procurarle el confort que el 6 necesita, el 6 se ocupará del cuidado de la familia y de embellecer su hogar.
Con un 7: no se entienden en absoluto, lo cual genera conflicto. El 8 es dominante y el 7 se aísla en el mundo de las ideas o lo espiritual. El 7 puede enseñarle al 8 a relajarse y encontrar el equilibrio entro lo material y espiritual. El 8 puede enseñarle al 7 el manejo del dinero, lo cual puede resultar en una combinación muy efectiva donde unan intuición y sentido práctico.
Con un 8: no hay armonía, porque se da una lucha de poder, ambos quieren mandar y dominar al otro. Pueden caer en enfrentamientos violetos. Este es un vínculo kármico, por lo cual tienen que aprender algo de esta relación. Hay algo pendiente de otras vidas entre ambos. Deben actuar con ética, fidelidad y honestidad mutuamente si no es así será una relación caótica y agresiva. Deben precaverse del excesivo materialismo y obsesionarse con cosas que no les sirven.
Con un 9: poca afinidad. El 8, que le da mucha importancia al dinero y el prestigio, no comprende el desapego e idealismo del 9. Si se enfocan en aprender de sus diferencias, pueden ser una dupla muy próspera. El 9 sabe de las necesidades de los otros y el 8 sabe cómo cubrirles esas necesidades. Se generará conflicto cuando el 8 quiera dominar al 9. Son dos números fuertes que fácilmente tienden a confrontarse.
</t>
  </si>
  <si>
    <t>Como tu sendero natal suma 9, tu manera de vincularte es la siguiente</t>
  </si>
  <si>
    <t xml:space="preserve">Con un 1: ambos son activos, impulsivos. Se producen tensiones cuando el 9 lucha demasiado por sus ideales y el 1 muestra su lado más individualista. Si se ponen de acuerdo, el 1 puede darle rumbo y dirigir los idealistas y humanitarios proyectos del 9. No es una dupla muy buena para lo afectivo, ya que el 9 está más afuera de la casa queriendo salvar al mundo que para sus afectos cercanos, y el 1 tiene al individualismo.
Con un 2: no son demasiado compatibles. El 2 es muy sensible para el 9, necesita demostraciones de afecto y compromiso y el 9 es un idealista que quiere salvar al mundo y no necesita atarse. Si se lo proponen puede funcionar, ya que ambos gustan de ayudar a otros y pueden llegar a comprenderse, pudiendo ser inspiración para otros. Pero permanentemente deberán lidiar con las emociones fluctuantes de ambos.
Con un 3: afinidad entre ambos, unen idealismo y creatividad, Ambos son populares, sociables e impulsivos, pero deben ser cautos en cómo se manejen en el mundo material porque tienden a despilfarrar dinero. Necesitan desarrollar el sentido práctico.
Con un 4: son muy distintos, se produce desacuerdo. El 9 es muy idealista para el práctico 4 y el 9 se aburre con el convencionalismo del 4.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4 le enseñara su sentido práctico y manejo del plano material y el 9 le enseñara su idealismo, coraje, infundiéndole sabiduría y experiencia de vida.
Con un 5: no hay concordancia. El 9 es demasiado idealista para el 5. El 5 no se ata a nada por mucho tiempo, ni siquiera a una causa, por lo cual ve al 9 como fanático. Este es un vínculo kármico, por lo cual tienen que aprender algo de esta relación. Hay algo pendiente de otras vidas entre ambos. Pueden sufrir fluctuaciones emocionales, son impulsivos y rebeldes. El mayor aprendizaje es aprender a respetarse sus libertades.
Con un 6: buena concordancia, el 6 comparte los ideales del 9, por lo cual es posible una relación duradera, si el 6 respeta lo idealista y humanitario del 9. El 9 no se aboca de lleno a su familia, sino que se debe brindar a la comunidad, y esto causa conflictos en su entorno cercano. Pero el 6 también suele comprometerse no solo con su familia sino también con su comunidad.
Con un 7: en lo afectivo, se da una frágil concordancia. Este es un vínculo kármico, por lo cual tienen que aprender algo de esta relación. Hay algo pendiente de otras vidas entre ambos. Deben actuar con ética, fidelidad y honestidad mutuamente, sino será una relación caótica. El 7 no comprenderá la impulsividad del 9, pero simpatizará con sus altos ideales. Se da una buena afinidad espiritual, porque persiguen metas elevadas, para ninguno la vida de pareja es prioritaria.
Con un 8: poca afinidad. El 8, que le da mucha importancia al dinero y el prestigio, no comprende el desapego e idealismo del 9. Si se enfocan en aprender de sus diferencias, pueden ser una dupla muy próspera. El 9 sabe de las necesidades de los otros y el 8 sabe cómo cubrirles esas necesidades. Se generará conflicto cuando el 8 quiera dominar al 9. Son dos números fuertes que fácilmente tienden a confrontarse.
Con un 9: se produce demasiada inquietud y altibajos emocionales entre ellos. No es una buena combinación de pareja, son desapegados y se brindan mayormente a los de afuera, dificultando la posibilidad de encuentros y convivencia.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</si>
</sst>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b/>
      <sz val="11"/>
      <color indexed="8"/>
      <name val="Calibri"/>
      <family val="2"/>
    </font>
  </fonts>
  <fills count="3">
    <fill>
      <patternFill patternType="none"/>
    </fill>
    <fill>
      <patternFill patternType="gray125"/>
    </fill>
    <fill>
      <gradientFill degree="90">
        <stop position="0">
          <color theme="0" tint="-0.1490218817712943"/>
        </stop>
        <stop position="1">
          <color theme="1"/>
        </stop>
      </gradientFill>
    </fill>
  </fills>
  <borders count="26">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4" xfId="0" applyBorder="1" applyAlignment="1">
      <alignment horizontal="center"/>
    </xf>
    <xf numFmtId="0" fontId="0" fillId="0" borderId="5" xfId="0" applyBorder="1" applyAlignment="1">
      <alignment shrinkToFit="1"/>
    </xf>
    <xf numFmtId="0" fontId="0" fillId="0" borderId="6" xfId="0" applyBorder="1" applyAlignment="1">
      <alignment shrinkToFit="1"/>
    </xf>
    <xf numFmtId="0" fontId="0" fillId="0" borderId="7" xfId="0" applyBorder="1" applyAlignment="1">
      <alignment horizontal="center"/>
    </xf>
    <xf numFmtId="0" fontId="0" fillId="0" borderId="8" xfId="0" applyBorder="1" applyAlignment="1">
      <alignment shrinkToFit="1"/>
    </xf>
    <xf numFmtId="0" fontId="0" fillId="0" borderId="9" xfId="0" applyBorder="1" applyAlignment="1">
      <alignment shrinkToFit="1"/>
    </xf>
    <xf numFmtId="0" fontId="0" fillId="0" borderId="10" xfId="0" applyBorder="1" applyAlignment="1">
      <alignment horizontal="center"/>
    </xf>
    <xf numFmtId="0" fontId="0" fillId="0" borderId="11" xfId="0" applyBorder="1" applyAlignment="1">
      <alignment shrinkToFit="1"/>
    </xf>
    <xf numFmtId="0" fontId="0" fillId="0" borderId="12" xfId="0" applyBorder="1" applyAlignment="1">
      <alignment shrinkToFit="1"/>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0" fillId="0" borderId="5" xfId="0" applyBorder="1" applyAlignment="1">
      <alignment horizontal="left" shrinkToFit="1"/>
    </xf>
    <xf numFmtId="0" fontId="0" fillId="0" borderId="6" xfId="0" applyBorder="1" applyAlignment="1">
      <alignment horizontal="left" shrinkToFit="1"/>
    </xf>
    <xf numFmtId="0" fontId="0" fillId="0" borderId="8" xfId="0" applyBorder="1" applyAlignment="1">
      <alignment horizontal="left" shrinkToFit="1"/>
    </xf>
    <xf numFmtId="0" fontId="0" fillId="0" borderId="9" xfId="0" applyBorder="1" applyAlignment="1">
      <alignment horizontal="left" shrinkToFit="1"/>
    </xf>
    <xf numFmtId="0" fontId="0" fillId="0" borderId="11" xfId="0" applyBorder="1" applyAlignment="1">
      <alignment horizontal="left" shrinkToFit="1"/>
    </xf>
    <xf numFmtId="0" fontId="0" fillId="0" borderId="9" xfId="0" applyBorder="1"/>
    <xf numFmtId="0" fontId="0" fillId="0" borderId="12" xfId="0" applyBorder="1" applyAlignment="1">
      <alignment horizontal="left" shrinkToFit="1"/>
    </xf>
    <xf numFmtId="0" fontId="0" fillId="0" borderId="5" xfId="0" applyBorder="1" applyAlignment="1">
      <alignment vertical="center" shrinkToFit="1"/>
    </xf>
    <xf numFmtId="0" fontId="0" fillId="0" borderId="6" xfId="0" applyBorder="1" applyAlignment="1">
      <alignment vertical="center" shrinkToFit="1"/>
    </xf>
    <xf numFmtId="0" fontId="0" fillId="0" borderId="8" xfId="0" applyBorder="1" applyAlignment="1">
      <alignment vertical="center" shrinkToFit="1"/>
    </xf>
    <xf numFmtId="0" fontId="0" fillId="0" borderId="9" xfId="0" applyBorder="1" applyAlignment="1">
      <alignment vertical="center" shrinkToFit="1"/>
    </xf>
    <xf numFmtId="0" fontId="0" fillId="0" borderId="11" xfId="0" applyBorder="1" applyAlignment="1">
      <alignment vertical="center" shrinkToFit="1"/>
    </xf>
    <xf numFmtId="0" fontId="0" fillId="0" borderId="12" xfId="0" applyBorder="1" applyAlignment="1">
      <alignment vertical="center" shrinkToFi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2"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F48B2-0ED6-4CDE-A87C-2E2919995237}">
  <dimension ref="A1:C14"/>
  <sheetViews>
    <sheetView workbookViewId="0">
      <selection activeCell="C8" sqref="C8"/>
    </sheetView>
  </sheetViews>
  <sheetFormatPr baseColWidth="10" defaultRowHeight="14.5" x14ac:dyDescent="0.35"/>
  <sheetData>
    <row r="1" spans="1:3" ht="15" thickBot="1" x14ac:dyDescent="0.4">
      <c r="A1" s="1" t="s">
        <v>0</v>
      </c>
      <c r="B1" s="2" t="s">
        <v>1</v>
      </c>
      <c r="C1" s="3" t="s">
        <v>2</v>
      </c>
    </row>
    <row r="2" spans="1:3" ht="30" customHeight="1" x14ac:dyDescent="0.35">
      <c r="A2" s="4">
        <v>1</v>
      </c>
      <c r="B2" s="5" t="s">
        <v>3</v>
      </c>
      <c r="C2" s="6" t="s">
        <v>4</v>
      </c>
    </row>
    <row r="3" spans="1:3" ht="30" customHeight="1" x14ac:dyDescent="0.35">
      <c r="A3" s="7">
        <v>2</v>
      </c>
      <c r="B3" s="8" t="s">
        <v>5</v>
      </c>
      <c r="C3" s="9" t="s">
        <v>6</v>
      </c>
    </row>
    <row r="4" spans="1:3" ht="30" customHeight="1" x14ac:dyDescent="0.35">
      <c r="A4" s="7">
        <v>3</v>
      </c>
      <c r="B4" s="8" t="s">
        <v>7</v>
      </c>
      <c r="C4" s="9" t="s">
        <v>8</v>
      </c>
    </row>
    <row r="5" spans="1:3" ht="30" customHeight="1" x14ac:dyDescent="0.35">
      <c r="A5" s="7">
        <v>4</v>
      </c>
      <c r="B5" s="8" t="s">
        <v>9</v>
      </c>
      <c r="C5" s="9" t="s">
        <v>10</v>
      </c>
    </row>
    <row r="6" spans="1:3" ht="30" customHeight="1" x14ac:dyDescent="0.35">
      <c r="A6" s="7">
        <v>5</v>
      </c>
      <c r="B6" s="8" t="s">
        <v>11</v>
      </c>
      <c r="C6" s="9" t="s">
        <v>12</v>
      </c>
    </row>
    <row r="7" spans="1:3" ht="30" customHeight="1" x14ac:dyDescent="0.35">
      <c r="A7" s="7">
        <v>6</v>
      </c>
      <c r="B7" s="8" t="s">
        <v>13</v>
      </c>
      <c r="C7" s="9" t="s">
        <v>14</v>
      </c>
    </row>
    <row r="8" spans="1:3" ht="30" customHeight="1" x14ac:dyDescent="0.35">
      <c r="A8" s="7">
        <v>7</v>
      </c>
      <c r="B8" s="8" t="s">
        <v>15</v>
      </c>
      <c r="C8" s="9" t="s">
        <v>16</v>
      </c>
    </row>
    <row r="9" spans="1:3" ht="30" customHeight="1" x14ac:dyDescent="0.35">
      <c r="A9" s="7">
        <v>8</v>
      </c>
      <c r="B9" s="8" t="s">
        <v>17</v>
      </c>
      <c r="C9" s="9" t="s">
        <v>18</v>
      </c>
    </row>
    <row r="10" spans="1:3" ht="30" customHeight="1" x14ac:dyDescent="0.35">
      <c r="A10" s="7">
        <v>9</v>
      </c>
      <c r="B10" s="8" t="s">
        <v>19</v>
      </c>
      <c r="C10" s="9" t="s">
        <v>20</v>
      </c>
    </row>
    <row r="11" spans="1:3" ht="30" customHeight="1" x14ac:dyDescent="0.35">
      <c r="A11" s="7">
        <v>11</v>
      </c>
      <c r="B11" s="8" t="s">
        <v>21</v>
      </c>
      <c r="C11" s="9" t="s">
        <v>22</v>
      </c>
    </row>
    <row r="12" spans="1:3" ht="30" customHeight="1" x14ac:dyDescent="0.35">
      <c r="A12" s="7">
        <v>22</v>
      </c>
      <c r="B12" s="8" t="s">
        <v>23</v>
      </c>
      <c r="C12" s="9" t="s">
        <v>24</v>
      </c>
    </row>
    <row r="13" spans="1:3" ht="30" customHeight="1" x14ac:dyDescent="0.35">
      <c r="A13" s="7">
        <v>33</v>
      </c>
      <c r="B13" s="8" t="s">
        <v>25</v>
      </c>
      <c r="C13" s="9" t="s">
        <v>26</v>
      </c>
    </row>
    <row r="14" spans="1:3" ht="30" customHeight="1" thickBot="1" x14ac:dyDescent="0.4">
      <c r="A14" s="10">
        <v>44</v>
      </c>
      <c r="B14" s="11" t="s">
        <v>27</v>
      </c>
      <c r="C14" s="12"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7C1D-3FAA-48DF-897B-601E4492DEE8}">
  <dimension ref="A1:C14"/>
  <sheetViews>
    <sheetView workbookViewId="0">
      <selection activeCell="A2" sqref="A2"/>
    </sheetView>
  </sheetViews>
  <sheetFormatPr baseColWidth="10" defaultRowHeight="14.5" x14ac:dyDescent="0.35"/>
  <sheetData>
    <row r="1" spans="1:3" ht="15" thickBot="1" x14ac:dyDescent="0.4">
      <c r="A1" s="1" t="s">
        <v>0</v>
      </c>
      <c r="B1" s="2" t="s">
        <v>1</v>
      </c>
      <c r="C1" s="3" t="s">
        <v>2</v>
      </c>
    </row>
    <row r="2" spans="1:3" ht="30" customHeight="1" x14ac:dyDescent="0.35">
      <c r="A2" s="4">
        <v>1</v>
      </c>
      <c r="B2" s="5" t="str">
        <f>"Tu Sendero Natal es "&amp;A2</f>
        <v>Tu Sendero Natal es 1</v>
      </c>
      <c r="C2" s="6" t="s">
        <v>4</v>
      </c>
    </row>
    <row r="3" spans="1:3" ht="30" customHeight="1" x14ac:dyDescent="0.35">
      <c r="A3" s="7">
        <v>2</v>
      </c>
      <c r="B3" s="8" t="str">
        <f t="shared" ref="B3:B14" si="0">"Tu Sendero Natal es "&amp;A3</f>
        <v>Tu Sendero Natal es 2</v>
      </c>
      <c r="C3" s="9" t="s">
        <v>6</v>
      </c>
    </row>
    <row r="4" spans="1:3" ht="30" customHeight="1" x14ac:dyDescent="0.35">
      <c r="A4" s="7">
        <v>3</v>
      </c>
      <c r="B4" s="8" t="str">
        <f t="shared" si="0"/>
        <v>Tu Sendero Natal es 3</v>
      </c>
      <c r="C4" s="9" t="s">
        <v>8</v>
      </c>
    </row>
    <row r="5" spans="1:3" ht="30" customHeight="1" x14ac:dyDescent="0.35">
      <c r="A5" s="7">
        <v>4</v>
      </c>
      <c r="B5" s="8" t="str">
        <f t="shared" si="0"/>
        <v>Tu Sendero Natal es 4</v>
      </c>
      <c r="C5" s="9" t="s">
        <v>10</v>
      </c>
    </row>
    <row r="6" spans="1:3" ht="30" customHeight="1" x14ac:dyDescent="0.35">
      <c r="A6" s="7">
        <v>5</v>
      </c>
      <c r="B6" s="8" t="str">
        <f t="shared" si="0"/>
        <v>Tu Sendero Natal es 5</v>
      </c>
      <c r="C6" s="9" t="s">
        <v>12</v>
      </c>
    </row>
    <row r="7" spans="1:3" ht="30" customHeight="1" x14ac:dyDescent="0.35">
      <c r="A7" s="7">
        <v>6</v>
      </c>
      <c r="B7" s="8" t="str">
        <f t="shared" si="0"/>
        <v>Tu Sendero Natal es 6</v>
      </c>
      <c r="C7" s="9" t="s">
        <v>14</v>
      </c>
    </row>
    <row r="8" spans="1:3" ht="30" customHeight="1" x14ac:dyDescent="0.35">
      <c r="A8" s="7">
        <v>7</v>
      </c>
      <c r="B8" s="8" t="str">
        <f t="shared" si="0"/>
        <v>Tu Sendero Natal es 7</v>
      </c>
      <c r="C8" s="9" t="s">
        <v>16</v>
      </c>
    </row>
    <row r="9" spans="1:3" ht="30" customHeight="1" x14ac:dyDescent="0.35">
      <c r="A9" s="7">
        <v>8</v>
      </c>
      <c r="B9" s="8" t="str">
        <f t="shared" si="0"/>
        <v>Tu Sendero Natal es 8</v>
      </c>
      <c r="C9" s="9" t="s">
        <v>18</v>
      </c>
    </row>
    <row r="10" spans="1:3" ht="30" customHeight="1" x14ac:dyDescent="0.35">
      <c r="A10" s="7">
        <v>9</v>
      </c>
      <c r="B10" s="8" t="str">
        <f t="shared" si="0"/>
        <v>Tu Sendero Natal es 9</v>
      </c>
      <c r="C10" s="9" t="s">
        <v>20</v>
      </c>
    </row>
    <row r="11" spans="1:3" ht="30" customHeight="1" x14ac:dyDescent="0.35">
      <c r="A11" s="7">
        <v>11</v>
      </c>
      <c r="B11" s="8" t="str">
        <f t="shared" si="0"/>
        <v>Tu Sendero Natal es 11</v>
      </c>
      <c r="C11" s="9" t="s">
        <v>22</v>
      </c>
    </row>
    <row r="12" spans="1:3" ht="30" customHeight="1" x14ac:dyDescent="0.35">
      <c r="A12" s="7">
        <v>22</v>
      </c>
      <c r="B12" s="8" t="str">
        <f t="shared" si="0"/>
        <v>Tu Sendero Natal es 22</v>
      </c>
      <c r="C12" s="9" t="s">
        <v>24</v>
      </c>
    </row>
    <row r="13" spans="1:3" ht="30" customHeight="1" x14ac:dyDescent="0.35">
      <c r="A13" s="7">
        <v>33</v>
      </c>
      <c r="B13" s="8" t="str">
        <f t="shared" si="0"/>
        <v>Tu Sendero Natal es 33</v>
      </c>
      <c r="C13" s="9" t="s">
        <v>26</v>
      </c>
    </row>
    <row r="14" spans="1:3" ht="30" customHeight="1" thickBot="1" x14ac:dyDescent="0.4">
      <c r="A14" s="10">
        <v>44</v>
      </c>
      <c r="B14" s="11" t="str">
        <f t="shared" si="0"/>
        <v>Tu Sendero Natal es 44</v>
      </c>
      <c r="C14" s="12"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F3A1-ABD3-4A83-9220-138735B0CDB1}">
  <dimension ref="A1:C11"/>
  <sheetViews>
    <sheetView workbookViewId="0">
      <selection activeCell="B2" sqref="B2"/>
    </sheetView>
  </sheetViews>
  <sheetFormatPr baseColWidth="10" defaultRowHeight="14.5" x14ac:dyDescent="0.35"/>
  <sheetData>
    <row r="1" spans="1:3" ht="15" thickBot="1" x14ac:dyDescent="0.4">
      <c r="A1" s="13" t="s">
        <v>29</v>
      </c>
      <c r="B1" s="14"/>
      <c r="C1" s="14"/>
    </row>
    <row r="2" spans="1:3" ht="15" thickBot="1" x14ac:dyDescent="0.4">
      <c r="A2" s="1" t="s">
        <v>0</v>
      </c>
      <c r="B2" s="2" t="s">
        <v>1</v>
      </c>
      <c r="C2" s="3" t="s">
        <v>2</v>
      </c>
    </row>
    <row r="3" spans="1:3" ht="30" customHeight="1" x14ac:dyDescent="0.35">
      <c r="A3" s="4">
        <v>1</v>
      </c>
      <c r="B3" s="5" t="s">
        <v>30</v>
      </c>
      <c r="C3" s="6" t="s">
        <v>31</v>
      </c>
    </row>
    <row r="4" spans="1:3" ht="30" customHeight="1" x14ac:dyDescent="0.35">
      <c r="A4" s="7">
        <v>2</v>
      </c>
      <c r="B4" s="8" t="s">
        <v>32</v>
      </c>
      <c r="C4" s="9" t="s">
        <v>33</v>
      </c>
    </row>
    <row r="5" spans="1:3" ht="30" customHeight="1" x14ac:dyDescent="0.35">
      <c r="A5" s="7">
        <v>3</v>
      </c>
      <c r="B5" s="8" t="s">
        <v>34</v>
      </c>
      <c r="C5" s="9" t="s">
        <v>35</v>
      </c>
    </row>
    <row r="6" spans="1:3" ht="30" customHeight="1" x14ac:dyDescent="0.35">
      <c r="A6" s="7">
        <v>4</v>
      </c>
      <c r="B6" s="8" t="s">
        <v>36</v>
      </c>
      <c r="C6" s="9" t="s">
        <v>37</v>
      </c>
    </row>
    <row r="7" spans="1:3" ht="30" customHeight="1" x14ac:dyDescent="0.35">
      <c r="A7" s="7">
        <v>5</v>
      </c>
      <c r="B7" s="8" t="s">
        <v>38</v>
      </c>
      <c r="C7" s="9" t="s">
        <v>39</v>
      </c>
    </row>
    <row r="8" spans="1:3" ht="30" customHeight="1" x14ac:dyDescent="0.35">
      <c r="A8" s="7">
        <v>6</v>
      </c>
      <c r="B8" s="8" t="s">
        <v>40</v>
      </c>
      <c r="C8" s="9" t="s">
        <v>41</v>
      </c>
    </row>
    <row r="9" spans="1:3" ht="30" customHeight="1" x14ac:dyDescent="0.35">
      <c r="A9" s="7">
        <v>7</v>
      </c>
      <c r="B9" s="8" t="s">
        <v>42</v>
      </c>
      <c r="C9" s="9" t="s">
        <v>43</v>
      </c>
    </row>
    <row r="10" spans="1:3" ht="30" customHeight="1" x14ac:dyDescent="0.35">
      <c r="A10" s="7">
        <v>8</v>
      </c>
      <c r="B10" s="8" t="s">
        <v>44</v>
      </c>
      <c r="C10" s="9" t="s">
        <v>45</v>
      </c>
    </row>
    <row r="11" spans="1:3" ht="30" customHeight="1" thickBot="1" x14ac:dyDescent="0.4">
      <c r="A11" s="10">
        <v>9</v>
      </c>
      <c r="B11" s="11" t="s">
        <v>46</v>
      </c>
      <c r="C11" s="12" t="s">
        <v>47</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B66A-9360-4CCF-BA85-5DC9BEBF8493}">
  <dimension ref="A1:C11"/>
  <sheetViews>
    <sheetView workbookViewId="0">
      <selection activeCell="A3" sqref="A3:XFD11"/>
    </sheetView>
  </sheetViews>
  <sheetFormatPr baseColWidth="10" defaultRowHeight="14.5" x14ac:dyDescent="0.35"/>
  <sheetData>
    <row r="1" spans="1:3" ht="15" thickBot="1" x14ac:dyDescent="0.4">
      <c r="A1" s="13" t="s">
        <v>48</v>
      </c>
      <c r="B1" s="14"/>
      <c r="C1" s="14"/>
    </row>
    <row r="2" spans="1:3" ht="15" thickBot="1" x14ac:dyDescent="0.4">
      <c r="A2" s="1" t="s">
        <v>0</v>
      </c>
      <c r="B2" s="2" t="s">
        <v>1</v>
      </c>
      <c r="C2" s="3" t="s">
        <v>2</v>
      </c>
    </row>
    <row r="3" spans="1:3" ht="40" customHeight="1" x14ac:dyDescent="0.35">
      <c r="A3" s="4">
        <v>1</v>
      </c>
      <c r="B3" s="5" t="s">
        <v>49</v>
      </c>
      <c r="C3" s="6" t="s">
        <v>31</v>
      </c>
    </row>
    <row r="4" spans="1:3" ht="40" customHeight="1" x14ac:dyDescent="0.35">
      <c r="A4" s="7">
        <v>2</v>
      </c>
      <c r="B4" s="8" t="s">
        <v>50</v>
      </c>
      <c r="C4" s="9" t="s">
        <v>33</v>
      </c>
    </row>
    <row r="5" spans="1:3" ht="40" customHeight="1" x14ac:dyDescent="0.35">
      <c r="A5" s="7">
        <v>3</v>
      </c>
      <c r="B5" s="8" t="s">
        <v>51</v>
      </c>
      <c r="C5" s="9" t="s">
        <v>35</v>
      </c>
    </row>
    <row r="6" spans="1:3" ht="40" customHeight="1" x14ac:dyDescent="0.35">
      <c r="A6" s="7">
        <v>4</v>
      </c>
      <c r="B6" s="8" t="s">
        <v>52</v>
      </c>
      <c r="C6" s="9" t="s">
        <v>37</v>
      </c>
    </row>
    <row r="7" spans="1:3" ht="40" customHeight="1" x14ac:dyDescent="0.35">
      <c r="A7" s="7">
        <v>5</v>
      </c>
      <c r="B7" s="8" t="s">
        <v>53</v>
      </c>
      <c r="C7" s="9" t="s">
        <v>39</v>
      </c>
    </row>
    <row r="8" spans="1:3" ht="40" customHeight="1" x14ac:dyDescent="0.35">
      <c r="A8" s="7">
        <v>6</v>
      </c>
      <c r="B8" s="8" t="s">
        <v>54</v>
      </c>
      <c r="C8" s="9" t="s">
        <v>41</v>
      </c>
    </row>
    <row r="9" spans="1:3" ht="40" customHeight="1" x14ac:dyDescent="0.35">
      <c r="A9" s="7">
        <v>7</v>
      </c>
      <c r="B9" s="8" t="s">
        <v>55</v>
      </c>
      <c r="C9" s="9" t="s">
        <v>43</v>
      </c>
    </row>
    <row r="10" spans="1:3" ht="40" customHeight="1" x14ac:dyDescent="0.35">
      <c r="A10" s="7">
        <v>8</v>
      </c>
      <c r="B10" s="8" t="s">
        <v>56</v>
      </c>
      <c r="C10" s="9" t="s">
        <v>45</v>
      </c>
    </row>
    <row r="11" spans="1:3" ht="40" customHeight="1" thickBot="1" x14ac:dyDescent="0.4">
      <c r="A11" s="10">
        <v>9</v>
      </c>
      <c r="B11" s="11" t="s">
        <v>57</v>
      </c>
      <c r="C11" s="12" t="s">
        <v>47</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E961A-5EE5-4196-8B38-33944CFC7D2C}">
  <dimension ref="A1:C33"/>
  <sheetViews>
    <sheetView workbookViewId="0">
      <selection activeCell="G4" sqref="G4"/>
    </sheetView>
  </sheetViews>
  <sheetFormatPr baseColWidth="10" defaultRowHeight="14.5" x14ac:dyDescent="0.35"/>
  <sheetData>
    <row r="1" spans="1:3" ht="15" thickBot="1" x14ac:dyDescent="0.4">
      <c r="A1" s="13" t="s">
        <v>58</v>
      </c>
      <c r="B1" s="14"/>
      <c r="C1" s="14"/>
    </row>
    <row r="2" spans="1:3" ht="15" thickBot="1" x14ac:dyDescent="0.4">
      <c r="A2" s="1" t="s">
        <v>0</v>
      </c>
      <c r="B2" s="2" t="s">
        <v>1</v>
      </c>
      <c r="C2" s="3" t="s">
        <v>2</v>
      </c>
    </row>
    <row r="3" spans="1:3" ht="40" customHeight="1" x14ac:dyDescent="0.35">
      <c r="A3" s="4">
        <v>1</v>
      </c>
      <c r="B3" s="5" t="s">
        <v>59</v>
      </c>
      <c r="C3" s="6" t="s">
        <v>60</v>
      </c>
    </row>
    <row r="4" spans="1:3" ht="40" customHeight="1" x14ac:dyDescent="0.35">
      <c r="A4" s="7">
        <v>2</v>
      </c>
      <c r="B4" s="8" t="s">
        <v>61</v>
      </c>
      <c r="C4" s="9" t="s">
        <v>62</v>
      </c>
    </row>
    <row r="5" spans="1:3" ht="40" customHeight="1" x14ac:dyDescent="0.35">
      <c r="A5" s="7">
        <v>3</v>
      </c>
      <c r="B5" s="8" t="s">
        <v>63</v>
      </c>
      <c r="C5" s="9" t="s">
        <v>64</v>
      </c>
    </row>
    <row r="6" spans="1:3" ht="40" customHeight="1" x14ac:dyDescent="0.35">
      <c r="A6" s="7">
        <v>4</v>
      </c>
      <c r="B6" s="8" t="s">
        <v>65</v>
      </c>
      <c r="C6" s="9" t="s">
        <v>66</v>
      </c>
    </row>
    <row r="7" spans="1:3" ht="40" customHeight="1" x14ac:dyDescent="0.35">
      <c r="A7" s="7">
        <v>5</v>
      </c>
      <c r="B7" s="8" t="s">
        <v>67</v>
      </c>
      <c r="C7" s="9" t="s">
        <v>68</v>
      </c>
    </row>
    <row r="8" spans="1:3" ht="40" customHeight="1" x14ac:dyDescent="0.35">
      <c r="A8" s="7">
        <v>6</v>
      </c>
      <c r="B8" s="8" t="s">
        <v>69</v>
      </c>
      <c r="C8" s="9" t="s">
        <v>70</v>
      </c>
    </row>
    <row r="9" spans="1:3" ht="40" customHeight="1" x14ac:dyDescent="0.35">
      <c r="A9" s="7">
        <v>7</v>
      </c>
      <c r="B9" s="8" t="s">
        <v>71</v>
      </c>
      <c r="C9" s="9" t="s">
        <v>72</v>
      </c>
    </row>
    <row r="10" spans="1:3" ht="40" customHeight="1" x14ac:dyDescent="0.35">
      <c r="A10" s="7">
        <v>8</v>
      </c>
      <c r="B10" s="8" t="s">
        <v>73</v>
      </c>
      <c r="C10" s="9" t="s">
        <v>74</v>
      </c>
    </row>
    <row r="11" spans="1:3" ht="40" customHeight="1" x14ac:dyDescent="0.35">
      <c r="A11" s="7">
        <v>9</v>
      </c>
      <c r="B11" s="8" t="s">
        <v>75</v>
      </c>
      <c r="C11" s="9" t="s">
        <v>76</v>
      </c>
    </row>
    <row r="12" spans="1:3" ht="40" customHeight="1" x14ac:dyDescent="0.35">
      <c r="A12" s="7">
        <v>10</v>
      </c>
      <c r="B12" s="8" t="s">
        <v>77</v>
      </c>
      <c r="C12" s="9" t="s">
        <v>78</v>
      </c>
    </row>
    <row r="13" spans="1:3" ht="40" customHeight="1" x14ac:dyDescent="0.35">
      <c r="A13" s="7">
        <v>11</v>
      </c>
      <c r="B13" s="8" t="s">
        <v>79</v>
      </c>
      <c r="C13" s="9" t="s">
        <v>80</v>
      </c>
    </row>
    <row r="14" spans="1:3" ht="40" customHeight="1" x14ac:dyDescent="0.35">
      <c r="A14" s="7">
        <v>12</v>
      </c>
      <c r="B14" s="8" t="s">
        <v>81</v>
      </c>
      <c r="C14" s="9" t="s">
        <v>82</v>
      </c>
    </row>
    <row r="15" spans="1:3" ht="40" customHeight="1" x14ac:dyDescent="0.35">
      <c r="A15" s="7">
        <v>13</v>
      </c>
      <c r="B15" s="8" t="s">
        <v>83</v>
      </c>
      <c r="C15" s="9" t="s">
        <v>84</v>
      </c>
    </row>
    <row r="16" spans="1:3" ht="40" customHeight="1" x14ac:dyDescent="0.35">
      <c r="A16" s="7">
        <v>14</v>
      </c>
      <c r="B16" s="8" t="s">
        <v>85</v>
      </c>
      <c r="C16" s="9" t="s">
        <v>86</v>
      </c>
    </row>
    <row r="17" spans="1:3" ht="40" customHeight="1" x14ac:dyDescent="0.35">
      <c r="A17" s="7">
        <v>15</v>
      </c>
      <c r="B17" s="8" t="s">
        <v>87</v>
      </c>
      <c r="C17" s="9" t="s">
        <v>88</v>
      </c>
    </row>
    <row r="18" spans="1:3" ht="40" customHeight="1" x14ac:dyDescent="0.35">
      <c r="A18" s="7">
        <v>16</v>
      </c>
      <c r="B18" s="8" t="s">
        <v>89</v>
      </c>
      <c r="C18" s="9" t="s">
        <v>90</v>
      </c>
    </row>
    <row r="19" spans="1:3" ht="40" customHeight="1" x14ac:dyDescent="0.35">
      <c r="A19" s="7">
        <v>17</v>
      </c>
      <c r="B19" s="8" t="s">
        <v>91</v>
      </c>
      <c r="C19" s="9" t="s">
        <v>92</v>
      </c>
    </row>
    <row r="20" spans="1:3" ht="40" customHeight="1" x14ac:dyDescent="0.35">
      <c r="A20" s="7">
        <v>18</v>
      </c>
      <c r="B20" s="8" t="s">
        <v>93</v>
      </c>
      <c r="C20" s="9" t="s">
        <v>94</v>
      </c>
    </row>
    <row r="21" spans="1:3" ht="40" customHeight="1" x14ac:dyDescent="0.35">
      <c r="A21" s="7">
        <v>19</v>
      </c>
      <c r="B21" s="8" t="s">
        <v>95</v>
      </c>
      <c r="C21" s="9" t="s">
        <v>96</v>
      </c>
    </row>
    <row r="22" spans="1:3" ht="40" customHeight="1" x14ac:dyDescent="0.35">
      <c r="A22" s="7">
        <v>20</v>
      </c>
      <c r="B22" s="8" t="s">
        <v>97</v>
      </c>
      <c r="C22" s="9" t="s">
        <v>98</v>
      </c>
    </row>
    <row r="23" spans="1:3" ht="40" customHeight="1" x14ac:dyDescent="0.35">
      <c r="A23" s="7">
        <v>21</v>
      </c>
      <c r="B23" s="8" t="s">
        <v>99</v>
      </c>
      <c r="C23" s="9" t="s">
        <v>100</v>
      </c>
    </row>
    <row r="24" spans="1:3" ht="40" customHeight="1" x14ac:dyDescent="0.35">
      <c r="A24" s="7">
        <v>22</v>
      </c>
      <c r="B24" s="8" t="s">
        <v>101</v>
      </c>
      <c r="C24" s="9" t="s">
        <v>102</v>
      </c>
    </row>
    <row r="25" spans="1:3" ht="40" customHeight="1" x14ac:dyDescent="0.35">
      <c r="A25" s="7">
        <v>23</v>
      </c>
      <c r="B25" s="8" t="s">
        <v>103</v>
      </c>
      <c r="C25" s="9" t="s">
        <v>104</v>
      </c>
    </row>
    <row r="26" spans="1:3" ht="40" customHeight="1" x14ac:dyDescent="0.35">
      <c r="A26" s="7">
        <v>24</v>
      </c>
      <c r="B26" s="8" t="s">
        <v>105</v>
      </c>
      <c r="C26" s="9" t="s">
        <v>106</v>
      </c>
    </row>
    <row r="27" spans="1:3" ht="40" customHeight="1" x14ac:dyDescent="0.35">
      <c r="A27" s="7">
        <v>25</v>
      </c>
      <c r="B27" s="8" t="s">
        <v>107</v>
      </c>
      <c r="C27" s="9" t="s">
        <v>108</v>
      </c>
    </row>
    <row r="28" spans="1:3" ht="40" customHeight="1" x14ac:dyDescent="0.35">
      <c r="A28" s="7">
        <v>26</v>
      </c>
      <c r="B28" s="8" t="s">
        <v>109</v>
      </c>
      <c r="C28" s="9" t="s">
        <v>110</v>
      </c>
    </row>
    <row r="29" spans="1:3" ht="40" customHeight="1" x14ac:dyDescent="0.35">
      <c r="A29" s="7">
        <v>27</v>
      </c>
      <c r="B29" s="8" t="s">
        <v>111</v>
      </c>
      <c r="C29" s="9" t="s">
        <v>112</v>
      </c>
    </row>
    <row r="30" spans="1:3" ht="40" customHeight="1" x14ac:dyDescent="0.35">
      <c r="A30" s="7">
        <v>28</v>
      </c>
      <c r="B30" s="8" t="s">
        <v>113</v>
      </c>
      <c r="C30" s="9" t="s">
        <v>114</v>
      </c>
    </row>
    <row r="31" spans="1:3" ht="40" customHeight="1" x14ac:dyDescent="0.35">
      <c r="A31" s="7">
        <v>29</v>
      </c>
      <c r="B31" s="8" t="s">
        <v>115</v>
      </c>
      <c r="C31" s="9" t="s">
        <v>116</v>
      </c>
    </row>
    <row r="32" spans="1:3" ht="40" customHeight="1" x14ac:dyDescent="0.35">
      <c r="A32" s="7">
        <v>30</v>
      </c>
      <c r="B32" s="8" t="s">
        <v>117</v>
      </c>
      <c r="C32" s="9" t="s">
        <v>118</v>
      </c>
    </row>
    <row r="33" spans="1:3" ht="40" customHeight="1" thickBot="1" x14ac:dyDescent="0.4">
      <c r="A33" s="10">
        <v>31</v>
      </c>
      <c r="B33" s="11" t="s">
        <v>119</v>
      </c>
      <c r="C33" s="12" t="s">
        <v>120</v>
      </c>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C5561-633A-4DBD-AE40-6A06785B70A1}">
  <dimension ref="A1:C80"/>
  <sheetViews>
    <sheetView workbookViewId="0">
      <selection activeCell="F25" sqref="F25"/>
    </sheetView>
  </sheetViews>
  <sheetFormatPr baseColWidth="10" defaultRowHeight="14.5" x14ac:dyDescent="0.35"/>
  <sheetData>
    <row r="1" spans="1:3" ht="15" thickBot="1" x14ac:dyDescent="0.4">
      <c r="A1" s="15" t="s">
        <v>1223</v>
      </c>
      <c r="B1" s="16"/>
      <c r="C1" s="17"/>
    </row>
    <row r="2" spans="1:3" ht="15" thickBot="1" x14ac:dyDescent="0.4">
      <c r="A2" s="1" t="s">
        <v>0</v>
      </c>
      <c r="B2" s="2" t="s">
        <v>1</v>
      </c>
      <c r="C2" s="3" t="s">
        <v>2</v>
      </c>
    </row>
    <row r="3" spans="1:3" x14ac:dyDescent="0.35">
      <c r="A3" s="4">
        <v>1</v>
      </c>
      <c r="B3" s="21" t="s">
        <v>1224</v>
      </c>
      <c r="C3" s="22" t="s">
        <v>1225</v>
      </c>
    </row>
    <row r="4" spans="1:3" x14ac:dyDescent="0.35">
      <c r="A4" s="7">
        <v>2</v>
      </c>
      <c r="B4" s="23" t="s">
        <v>1226</v>
      </c>
      <c r="C4" s="24" t="s">
        <v>1227</v>
      </c>
    </row>
    <row r="5" spans="1:3" x14ac:dyDescent="0.35">
      <c r="A5" s="7">
        <v>3</v>
      </c>
      <c r="B5" s="23" t="s">
        <v>1228</v>
      </c>
      <c r="C5" s="24" t="s">
        <v>1229</v>
      </c>
    </row>
    <row r="6" spans="1:3" x14ac:dyDescent="0.35">
      <c r="A6" s="7">
        <v>4</v>
      </c>
      <c r="B6" s="23" t="s">
        <v>1230</v>
      </c>
      <c r="C6" s="24" t="s">
        <v>1231</v>
      </c>
    </row>
    <row r="7" spans="1:3" x14ac:dyDescent="0.35">
      <c r="A7" s="7">
        <v>5</v>
      </c>
      <c r="B7" s="23" t="s">
        <v>1232</v>
      </c>
      <c r="C7" s="24" t="s">
        <v>1233</v>
      </c>
    </row>
    <row r="8" spans="1:3" x14ac:dyDescent="0.35">
      <c r="A8" s="7">
        <v>6</v>
      </c>
      <c r="B8" s="23" t="s">
        <v>1234</v>
      </c>
      <c r="C8" s="24" t="s">
        <v>1235</v>
      </c>
    </row>
    <row r="9" spans="1:3" x14ac:dyDescent="0.35">
      <c r="A9" s="7">
        <v>7</v>
      </c>
      <c r="B9" s="23" t="s">
        <v>1236</v>
      </c>
      <c r="C9" s="24" t="s">
        <v>1237</v>
      </c>
    </row>
    <row r="10" spans="1:3" x14ac:dyDescent="0.35">
      <c r="A10" s="7">
        <v>8</v>
      </c>
      <c r="B10" s="23" t="s">
        <v>1238</v>
      </c>
      <c r="C10" s="24" t="s">
        <v>1239</v>
      </c>
    </row>
    <row r="11" spans="1:3" x14ac:dyDescent="0.35">
      <c r="A11" s="7">
        <v>9</v>
      </c>
      <c r="B11" s="23" t="s">
        <v>1240</v>
      </c>
      <c r="C11" s="24" t="s">
        <v>1241</v>
      </c>
    </row>
    <row r="12" spans="1:3" x14ac:dyDescent="0.35">
      <c r="A12" s="7">
        <v>10</v>
      </c>
      <c r="B12" s="23" t="s">
        <v>1242</v>
      </c>
      <c r="C12" s="24" t="s">
        <v>1243</v>
      </c>
    </row>
    <row r="13" spans="1:3" x14ac:dyDescent="0.35">
      <c r="A13" s="7">
        <v>11</v>
      </c>
      <c r="B13" s="23" t="s">
        <v>1244</v>
      </c>
      <c r="C13" s="24" t="s">
        <v>1245</v>
      </c>
    </row>
    <row r="14" spans="1:3" x14ac:dyDescent="0.35">
      <c r="A14" s="7">
        <v>12</v>
      </c>
      <c r="B14" s="23" t="s">
        <v>1246</v>
      </c>
      <c r="C14" s="24" t="s">
        <v>1247</v>
      </c>
    </row>
    <row r="15" spans="1:3" x14ac:dyDescent="0.35">
      <c r="A15" s="7">
        <v>13</v>
      </c>
      <c r="B15" s="23" t="s">
        <v>1248</v>
      </c>
      <c r="C15" s="24" t="s">
        <v>1249</v>
      </c>
    </row>
    <row r="16" spans="1:3" x14ac:dyDescent="0.35">
      <c r="A16" s="7">
        <v>14</v>
      </c>
      <c r="B16" s="23" t="s">
        <v>1250</v>
      </c>
      <c r="C16" s="24" t="s">
        <v>1251</v>
      </c>
    </row>
    <row r="17" spans="1:3" x14ac:dyDescent="0.35">
      <c r="A17" s="7">
        <v>15</v>
      </c>
      <c r="B17" s="23" t="s">
        <v>1252</v>
      </c>
      <c r="C17" s="24" t="s">
        <v>1253</v>
      </c>
    </row>
    <row r="18" spans="1:3" x14ac:dyDescent="0.35">
      <c r="A18" s="7">
        <v>16</v>
      </c>
      <c r="B18" s="23" t="s">
        <v>1254</v>
      </c>
      <c r="C18" s="24" t="s">
        <v>1255</v>
      </c>
    </row>
    <row r="19" spans="1:3" x14ac:dyDescent="0.35">
      <c r="A19" s="7">
        <v>17</v>
      </c>
      <c r="B19" s="23" t="s">
        <v>1256</v>
      </c>
      <c r="C19" s="24" t="s">
        <v>1257</v>
      </c>
    </row>
    <row r="20" spans="1:3" x14ac:dyDescent="0.35">
      <c r="A20" s="7">
        <v>18</v>
      </c>
      <c r="B20" s="23" t="s">
        <v>1258</v>
      </c>
      <c r="C20" s="24" t="s">
        <v>1259</v>
      </c>
    </row>
    <row r="21" spans="1:3" x14ac:dyDescent="0.35">
      <c r="A21" s="7">
        <v>19</v>
      </c>
      <c r="B21" s="23" t="s">
        <v>1260</v>
      </c>
      <c r="C21" s="24" t="s">
        <v>1261</v>
      </c>
    </row>
    <row r="22" spans="1:3" x14ac:dyDescent="0.35">
      <c r="A22" s="7">
        <v>20</v>
      </c>
      <c r="B22" s="23" t="s">
        <v>1262</v>
      </c>
      <c r="C22" s="24" t="s">
        <v>1263</v>
      </c>
    </row>
    <row r="23" spans="1:3" x14ac:dyDescent="0.35">
      <c r="A23" s="7">
        <v>21</v>
      </c>
      <c r="B23" s="23" t="s">
        <v>1264</v>
      </c>
      <c r="C23" s="24" t="s">
        <v>1265</v>
      </c>
    </row>
    <row r="24" spans="1:3" x14ac:dyDescent="0.35">
      <c r="A24" s="7">
        <v>22</v>
      </c>
      <c r="B24" s="23" t="s">
        <v>1266</v>
      </c>
      <c r="C24" s="24" t="s">
        <v>1267</v>
      </c>
    </row>
    <row r="25" spans="1:3" x14ac:dyDescent="0.35">
      <c r="A25" s="7">
        <v>23</v>
      </c>
      <c r="B25" s="23" t="s">
        <v>1268</v>
      </c>
      <c r="C25" s="24" t="s">
        <v>1269</v>
      </c>
    </row>
    <row r="26" spans="1:3" x14ac:dyDescent="0.35">
      <c r="A26" s="7">
        <v>24</v>
      </c>
      <c r="B26" s="23" t="s">
        <v>1270</v>
      </c>
      <c r="C26" s="24" t="s">
        <v>1271</v>
      </c>
    </row>
    <row r="27" spans="1:3" x14ac:dyDescent="0.35">
      <c r="A27" s="7">
        <v>25</v>
      </c>
      <c r="B27" s="23" t="s">
        <v>1272</v>
      </c>
      <c r="C27" s="24" t="s">
        <v>1273</v>
      </c>
    </row>
    <row r="28" spans="1:3" x14ac:dyDescent="0.35">
      <c r="A28" s="7">
        <v>26</v>
      </c>
      <c r="B28" s="23" t="s">
        <v>1274</v>
      </c>
      <c r="C28" s="24" t="s">
        <v>1275</v>
      </c>
    </row>
    <row r="29" spans="1:3" x14ac:dyDescent="0.35">
      <c r="A29" s="7">
        <v>27</v>
      </c>
      <c r="B29" s="23" t="s">
        <v>1276</v>
      </c>
      <c r="C29" s="24" t="s">
        <v>1277</v>
      </c>
    </row>
    <row r="30" spans="1:3" x14ac:dyDescent="0.35">
      <c r="A30" s="7">
        <v>28</v>
      </c>
      <c r="B30" s="23" t="s">
        <v>1278</v>
      </c>
      <c r="C30" s="24" t="s">
        <v>1279</v>
      </c>
    </row>
    <row r="31" spans="1:3" x14ac:dyDescent="0.35">
      <c r="A31" s="7">
        <v>29</v>
      </c>
      <c r="B31" s="23" t="s">
        <v>1280</v>
      </c>
      <c r="C31" s="24" t="s">
        <v>1281</v>
      </c>
    </row>
    <row r="32" spans="1:3" x14ac:dyDescent="0.35">
      <c r="A32" s="7">
        <v>30</v>
      </c>
      <c r="B32" s="23" t="s">
        <v>1282</v>
      </c>
      <c r="C32" s="24" t="s">
        <v>1283</v>
      </c>
    </row>
    <row r="33" spans="1:3" x14ac:dyDescent="0.35">
      <c r="A33" s="7">
        <v>31</v>
      </c>
      <c r="B33" s="23" t="s">
        <v>1284</v>
      </c>
      <c r="C33" s="24" t="s">
        <v>1285</v>
      </c>
    </row>
    <row r="34" spans="1:3" x14ac:dyDescent="0.35">
      <c r="A34" s="7">
        <v>32</v>
      </c>
      <c r="B34" s="23" t="s">
        <v>1286</v>
      </c>
      <c r="C34" s="24" t="s">
        <v>1287</v>
      </c>
    </row>
    <row r="35" spans="1:3" x14ac:dyDescent="0.35">
      <c r="A35" s="7">
        <v>33</v>
      </c>
      <c r="B35" s="23" t="s">
        <v>1288</v>
      </c>
      <c r="C35" s="24" t="s">
        <v>1289</v>
      </c>
    </row>
    <row r="36" spans="1:3" x14ac:dyDescent="0.35">
      <c r="A36" s="7">
        <v>34</v>
      </c>
      <c r="B36" s="23" t="s">
        <v>1290</v>
      </c>
      <c r="C36" s="24" t="s">
        <v>1291</v>
      </c>
    </row>
    <row r="37" spans="1:3" x14ac:dyDescent="0.35">
      <c r="A37" s="7">
        <v>35</v>
      </c>
      <c r="B37" s="23" t="s">
        <v>1292</v>
      </c>
      <c r="C37" s="24" t="s">
        <v>1293</v>
      </c>
    </row>
    <row r="38" spans="1:3" x14ac:dyDescent="0.35">
      <c r="A38" s="7">
        <v>36</v>
      </c>
      <c r="B38" s="23" t="s">
        <v>1294</v>
      </c>
      <c r="C38" s="24" t="s">
        <v>1295</v>
      </c>
    </row>
    <row r="39" spans="1:3" x14ac:dyDescent="0.35">
      <c r="A39" s="7">
        <v>37</v>
      </c>
      <c r="B39" s="23" t="s">
        <v>1296</v>
      </c>
      <c r="C39" s="24" t="s">
        <v>1297</v>
      </c>
    </row>
    <row r="40" spans="1:3" x14ac:dyDescent="0.35">
      <c r="A40" s="7">
        <v>38</v>
      </c>
      <c r="B40" s="23" t="s">
        <v>1298</v>
      </c>
      <c r="C40" s="24" t="s">
        <v>1299</v>
      </c>
    </row>
    <row r="41" spans="1:3" x14ac:dyDescent="0.35">
      <c r="A41" s="7">
        <v>39</v>
      </c>
      <c r="B41" s="23" t="s">
        <v>1300</v>
      </c>
      <c r="C41" s="24" t="s">
        <v>1301</v>
      </c>
    </row>
    <row r="42" spans="1:3" x14ac:dyDescent="0.35">
      <c r="A42" s="7">
        <v>40</v>
      </c>
      <c r="B42" s="23" t="s">
        <v>1302</v>
      </c>
      <c r="C42" s="24" t="s">
        <v>1303</v>
      </c>
    </row>
    <row r="43" spans="1:3" x14ac:dyDescent="0.35">
      <c r="A43" s="7">
        <v>41</v>
      </c>
      <c r="B43" s="23" t="s">
        <v>1304</v>
      </c>
      <c r="C43" s="24" t="s">
        <v>1305</v>
      </c>
    </row>
    <row r="44" spans="1:3" x14ac:dyDescent="0.35">
      <c r="A44" s="7">
        <v>42</v>
      </c>
      <c r="B44" s="23" t="s">
        <v>1306</v>
      </c>
      <c r="C44" s="24" t="s">
        <v>1307</v>
      </c>
    </row>
    <row r="45" spans="1:3" x14ac:dyDescent="0.35">
      <c r="A45" s="7">
        <v>43</v>
      </c>
      <c r="B45" s="23" t="s">
        <v>1308</v>
      </c>
      <c r="C45" s="24" t="s">
        <v>1309</v>
      </c>
    </row>
    <row r="46" spans="1:3" x14ac:dyDescent="0.35">
      <c r="A46" s="7">
        <v>44</v>
      </c>
      <c r="B46" s="23" t="s">
        <v>1310</v>
      </c>
      <c r="C46" s="24" t="s">
        <v>1311</v>
      </c>
    </row>
    <row r="47" spans="1:3" x14ac:dyDescent="0.35">
      <c r="A47" s="7">
        <v>45</v>
      </c>
      <c r="B47" s="23" t="s">
        <v>1312</v>
      </c>
      <c r="C47" s="24" t="s">
        <v>1313</v>
      </c>
    </row>
    <row r="48" spans="1:3" x14ac:dyDescent="0.35">
      <c r="A48" s="7">
        <v>46</v>
      </c>
      <c r="B48" s="23" t="s">
        <v>1314</v>
      </c>
      <c r="C48" s="24" t="s">
        <v>1315</v>
      </c>
    </row>
    <row r="49" spans="1:3" x14ac:dyDescent="0.35">
      <c r="A49" s="7">
        <v>47</v>
      </c>
      <c r="B49" s="23" t="s">
        <v>1316</v>
      </c>
      <c r="C49" s="24" t="s">
        <v>1317</v>
      </c>
    </row>
    <row r="50" spans="1:3" x14ac:dyDescent="0.35">
      <c r="A50" s="7">
        <v>48</v>
      </c>
      <c r="B50" s="23" t="s">
        <v>1318</v>
      </c>
      <c r="C50" s="24" t="s">
        <v>1319</v>
      </c>
    </row>
    <row r="51" spans="1:3" x14ac:dyDescent="0.35">
      <c r="A51" s="7">
        <v>49</v>
      </c>
      <c r="B51" s="23" t="s">
        <v>1320</v>
      </c>
      <c r="C51" s="24" t="s">
        <v>1321</v>
      </c>
    </row>
    <row r="52" spans="1:3" x14ac:dyDescent="0.35">
      <c r="A52" s="7">
        <v>50</v>
      </c>
      <c r="B52" s="23" t="s">
        <v>1322</v>
      </c>
      <c r="C52" s="24" t="s">
        <v>1323</v>
      </c>
    </row>
    <row r="53" spans="1:3" x14ac:dyDescent="0.35">
      <c r="A53" s="7">
        <v>51</v>
      </c>
      <c r="B53" s="23" t="s">
        <v>1324</v>
      </c>
      <c r="C53" s="24" t="s">
        <v>1325</v>
      </c>
    </row>
    <row r="54" spans="1:3" x14ac:dyDescent="0.35">
      <c r="A54" s="7">
        <v>52</v>
      </c>
      <c r="B54" s="23" t="s">
        <v>1326</v>
      </c>
      <c r="C54" s="24" t="s">
        <v>1327</v>
      </c>
    </row>
    <row r="55" spans="1:3" x14ac:dyDescent="0.35">
      <c r="A55" s="7">
        <v>53</v>
      </c>
      <c r="B55" s="23" t="s">
        <v>1328</v>
      </c>
      <c r="C55" s="24" t="s">
        <v>1329</v>
      </c>
    </row>
    <row r="56" spans="1:3" x14ac:dyDescent="0.35">
      <c r="A56" s="7">
        <v>54</v>
      </c>
      <c r="B56" s="23" t="s">
        <v>1330</v>
      </c>
      <c r="C56" s="24" t="s">
        <v>1331</v>
      </c>
    </row>
    <row r="57" spans="1:3" x14ac:dyDescent="0.35">
      <c r="A57" s="7">
        <v>55</v>
      </c>
      <c r="B57" s="23" t="s">
        <v>1332</v>
      </c>
      <c r="C57" s="24" t="s">
        <v>1333</v>
      </c>
    </row>
    <row r="58" spans="1:3" x14ac:dyDescent="0.35">
      <c r="A58" s="7">
        <v>56</v>
      </c>
      <c r="B58" s="23" t="s">
        <v>1334</v>
      </c>
      <c r="C58" s="24" t="s">
        <v>1335</v>
      </c>
    </row>
    <row r="59" spans="1:3" x14ac:dyDescent="0.35">
      <c r="A59" s="7">
        <v>57</v>
      </c>
      <c r="B59" s="23" t="s">
        <v>1336</v>
      </c>
      <c r="C59" s="24" t="s">
        <v>1337</v>
      </c>
    </row>
    <row r="60" spans="1:3" x14ac:dyDescent="0.35">
      <c r="A60" s="7">
        <v>58</v>
      </c>
      <c r="B60" s="23" t="s">
        <v>1338</v>
      </c>
      <c r="C60" s="24" t="s">
        <v>1339</v>
      </c>
    </row>
    <row r="61" spans="1:3" x14ac:dyDescent="0.35">
      <c r="A61" s="7">
        <v>59</v>
      </c>
      <c r="B61" s="23" t="s">
        <v>1340</v>
      </c>
      <c r="C61" s="24" t="s">
        <v>1341</v>
      </c>
    </row>
    <row r="62" spans="1:3" x14ac:dyDescent="0.35">
      <c r="A62" s="7">
        <v>60</v>
      </c>
      <c r="B62" s="23" t="s">
        <v>1342</v>
      </c>
      <c r="C62" s="24" t="s">
        <v>1343</v>
      </c>
    </row>
    <row r="63" spans="1:3" x14ac:dyDescent="0.35">
      <c r="A63" s="7">
        <v>61</v>
      </c>
      <c r="B63" s="23" t="s">
        <v>1344</v>
      </c>
      <c r="C63" s="24" t="s">
        <v>1345</v>
      </c>
    </row>
    <row r="64" spans="1:3" x14ac:dyDescent="0.35">
      <c r="A64" s="7">
        <v>62</v>
      </c>
      <c r="B64" s="23" t="s">
        <v>1346</v>
      </c>
      <c r="C64" s="24" t="s">
        <v>1347</v>
      </c>
    </row>
    <row r="65" spans="1:3" x14ac:dyDescent="0.35">
      <c r="A65" s="7">
        <v>63</v>
      </c>
      <c r="B65" s="23" t="s">
        <v>1348</v>
      </c>
      <c r="C65" s="24" t="s">
        <v>1349</v>
      </c>
    </row>
    <row r="66" spans="1:3" x14ac:dyDescent="0.35">
      <c r="A66" s="7">
        <v>64</v>
      </c>
      <c r="B66" s="23" t="s">
        <v>1350</v>
      </c>
      <c r="C66" s="24" t="s">
        <v>1351</v>
      </c>
    </row>
    <row r="67" spans="1:3" x14ac:dyDescent="0.35">
      <c r="A67" s="7">
        <v>65</v>
      </c>
      <c r="B67" s="23" t="s">
        <v>1352</v>
      </c>
      <c r="C67" s="24" t="s">
        <v>1353</v>
      </c>
    </row>
    <row r="68" spans="1:3" x14ac:dyDescent="0.35">
      <c r="A68" s="7">
        <v>66</v>
      </c>
      <c r="B68" s="23" t="s">
        <v>1354</v>
      </c>
      <c r="C68" s="24" t="s">
        <v>1355</v>
      </c>
    </row>
    <row r="69" spans="1:3" x14ac:dyDescent="0.35">
      <c r="A69" s="7">
        <v>67</v>
      </c>
      <c r="B69" s="23" t="s">
        <v>1356</v>
      </c>
      <c r="C69" s="24" t="s">
        <v>1357</v>
      </c>
    </row>
    <row r="70" spans="1:3" x14ac:dyDescent="0.35">
      <c r="A70" s="7">
        <v>68</v>
      </c>
      <c r="B70" s="23" t="s">
        <v>1358</v>
      </c>
      <c r="C70" s="24" t="s">
        <v>1359</v>
      </c>
    </row>
    <row r="71" spans="1:3" x14ac:dyDescent="0.35">
      <c r="A71" s="7">
        <v>69</v>
      </c>
      <c r="B71" s="23" t="s">
        <v>1360</v>
      </c>
      <c r="C71" s="24" t="s">
        <v>1361</v>
      </c>
    </row>
    <row r="72" spans="1:3" x14ac:dyDescent="0.35">
      <c r="A72" s="7">
        <v>70</v>
      </c>
      <c r="B72" s="23" t="s">
        <v>1362</v>
      </c>
      <c r="C72" s="24" t="s">
        <v>1363</v>
      </c>
    </row>
    <row r="73" spans="1:3" x14ac:dyDescent="0.35">
      <c r="A73" s="7">
        <v>71</v>
      </c>
      <c r="B73" s="23" t="s">
        <v>1364</v>
      </c>
      <c r="C73" s="24" t="s">
        <v>1365</v>
      </c>
    </row>
    <row r="74" spans="1:3" x14ac:dyDescent="0.35">
      <c r="A74" s="7">
        <v>72</v>
      </c>
      <c r="B74" s="23" t="s">
        <v>1366</v>
      </c>
      <c r="C74" s="24" t="s">
        <v>1367</v>
      </c>
    </row>
    <row r="75" spans="1:3" x14ac:dyDescent="0.35">
      <c r="A75" s="7">
        <v>73</v>
      </c>
      <c r="B75" s="23" t="s">
        <v>1368</v>
      </c>
      <c r="C75" s="24" t="s">
        <v>1369</v>
      </c>
    </row>
    <row r="76" spans="1:3" x14ac:dyDescent="0.35">
      <c r="A76" s="7">
        <v>74</v>
      </c>
      <c r="B76" s="23" t="s">
        <v>1370</v>
      </c>
      <c r="C76" s="24" t="s">
        <v>1371</v>
      </c>
    </row>
    <row r="77" spans="1:3" x14ac:dyDescent="0.35">
      <c r="A77" s="7">
        <v>75</v>
      </c>
      <c r="B77" s="23" t="s">
        <v>1372</v>
      </c>
      <c r="C77" s="24" t="s">
        <v>1373</v>
      </c>
    </row>
    <row r="78" spans="1:3" x14ac:dyDescent="0.35">
      <c r="A78" s="7">
        <v>76</v>
      </c>
      <c r="B78" s="23" t="s">
        <v>1374</v>
      </c>
      <c r="C78" s="24" t="s">
        <v>1375</v>
      </c>
    </row>
    <row r="79" spans="1:3" x14ac:dyDescent="0.35">
      <c r="A79" s="7">
        <v>77</v>
      </c>
      <c r="B79" s="23" t="s">
        <v>1376</v>
      </c>
      <c r="C79" s="24" t="s">
        <v>1377</v>
      </c>
    </row>
    <row r="80" spans="1:3" ht="15" thickBot="1" x14ac:dyDescent="0.4">
      <c r="A80" s="10">
        <v>78</v>
      </c>
      <c r="B80" s="25" t="s">
        <v>1378</v>
      </c>
      <c r="C80" s="27" t="s">
        <v>1379</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42A46-D921-4E54-886D-6D94AA527098}">
  <dimension ref="A1:C80"/>
  <sheetViews>
    <sheetView workbookViewId="0">
      <selection activeCell="F13" sqref="F13"/>
    </sheetView>
  </sheetViews>
  <sheetFormatPr baseColWidth="10" defaultRowHeight="14.5" x14ac:dyDescent="0.35"/>
  <sheetData>
    <row r="1" spans="1:3" ht="15" thickBot="1" x14ac:dyDescent="0.4">
      <c r="A1" s="15" t="s">
        <v>1223</v>
      </c>
      <c r="B1" s="16"/>
      <c r="C1" s="17"/>
    </row>
    <row r="2" spans="1:3" ht="15" thickBot="1" x14ac:dyDescent="0.4">
      <c r="A2" s="1" t="s">
        <v>0</v>
      </c>
      <c r="B2" s="2" t="s">
        <v>1</v>
      </c>
      <c r="C2" s="3" t="s">
        <v>2</v>
      </c>
    </row>
    <row r="3" spans="1:3" x14ac:dyDescent="0.35">
      <c r="A3" s="4">
        <v>1</v>
      </c>
      <c r="B3" s="21" t="s">
        <v>1224</v>
      </c>
      <c r="C3" s="22" t="s">
        <v>1225</v>
      </c>
    </row>
    <row r="4" spans="1:3" x14ac:dyDescent="0.35">
      <c r="A4" s="7">
        <v>2</v>
      </c>
      <c r="B4" s="23" t="s">
        <v>1226</v>
      </c>
      <c r="C4" s="24" t="s">
        <v>1227</v>
      </c>
    </row>
    <row r="5" spans="1:3" x14ac:dyDescent="0.35">
      <c r="A5" s="7">
        <v>3</v>
      </c>
      <c r="B5" s="23" t="s">
        <v>1228</v>
      </c>
      <c r="C5" s="24" t="s">
        <v>1229</v>
      </c>
    </row>
    <row r="6" spans="1:3" x14ac:dyDescent="0.35">
      <c r="A6" s="7">
        <v>4</v>
      </c>
      <c r="B6" s="23" t="s">
        <v>1230</v>
      </c>
      <c r="C6" s="24" t="s">
        <v>1231</v>
      </c>
    </row>
    <row r="7" spans="1:3" x14ac:dyDescent="0.35">
      <c r="A7" s="7">
        <v>5</v>
      </c>
      <c r="B7" s="23" t="s">
        <v>1232</v>
      </c>
      <c r="C7" s="24" t="s">
        <v>1233</v>
      </c>
    </row>
    <row r="8" spans="1:3" x14ac:dyDescent="0.35">
      <c r="A8" s="7">
        <v>6</v>
      </c>
      <c r="B8" s="23" t="s">
        <v>1234</v>
      </c>
      <c r="C8" s="24" t="s">
        <v>1235</v>
      </c>
    </row>
    <row r="9" spans="1:3" x14ac:dyDescent="0.35">
      <c r="A9" s="7">
        <v>7</v>
      </c>
      <c r="B9" s="23" t="s">
        <v>1236</v>
      </c>
      <c r="C9" s="24" t="s">
        <v>1237</v>
      </c>
    </row>
    <row r="10" spans="1:3" x14ac:dyDescent="0.35">
      <c r="A10" s="7">
        <v>8</v>
      </c>
      <c r="B10" s="23" t="s">
        <v>1238</v>
      </c>
      <c r="C10" s="24" t="s">
        <v>1239</v>
      </c>
    </row>
    <row r="11" spans="1:3" x14ac:dyDescent="0.35">
      <c r="A11" s="7">
        <v>9</v>
      </c>
      <c r="B11" s="23" t="s">
        <v>1240</v>
      </c>
      <c r="C11" s="24" t="s">
        <v>1241</v>
      </c>
    </row>
    <row r="12" spans="1:3" x14ac:dyDescent="0.35">
      <c r="A12" s="7">
        <v>10</v>
      </c>
      <c r="B12" s="23" t="s">
        <v>1242</v>
      </c>
      <c r="C12" s="24" t="s">
        <v>1243</v>
      </c>
    </row>
    <row r="13" spans="1:3" x14ac:dyDescent="0.35">
      <c r="A13" s="7">
        <v>11</v>
      </c>
      <c r="B13" s="23" t="s">
        <v>1244</v>
      </c>
      <c r="C13" s="24" t="s">
        <v>1245</v>
      </c>
    </row>
    <row r="14" spans="1:3" x14ac:dyDescent="0.35">
      <c r="A14" s="7">
        <v>12</v>
      </c>
      <c r="B14" s="23" t="s">
        <v>1246</v>
      </c>
      <c r="C14" s="24" t="s">
        <v>1247</v>
      </c>
    </row>
    <row r="15" spans="1:3" x14ac:dyDescent="0.35">
      <c r="A15" s="7">
        <v>13</v>
      </c>
      <c r="B15" s="23" t="s">
        <v>1248</v>
      </c>
      <c r="C15" s="24" t="s">
        <v>1249</v>
      </c>
    </row>
    <row r="16" spans="1:3" x14ac:dyDescent="0.35">
      <c r="A16" s="7">
        <v>14</v>
      </c>
      <c r="B16" s="23" t="s">
        <v>1250</v>
      </c>
      <c r="C16" s="24" t="s">
        <v>1251</v>
      </c>
    </row>
    <row r="17" spans="1:3" x14ac:dyDescent="0.35">
      <c r="A17" s="7">
        <v>15</v>
      </c>
      <c r="B17" s="23" t="s">
        <v>1252</v>
      </c>
      <c r="C17" s="24" t="s">
        <v>1253</v>
      </c>
    </row>
    <row r="18" spans="1:3" x14ac:dyDescent="0.35">
      <c r="A18" s="7">
        <v>16</v>
      </c>
      <c r="B18" s="23" t="s">
        <v>1254</v>
      </c>
      <c r="C18" s="24" t="s">
        <v>1255</v>
      </c>
    </row>
    <row r="19" spans="1:3" x14ac:dyDescent="0.35">
      <c r="A19" s="7">
        <v>17</v>
      </c>
      <c r="B19" s="23" t="s">
        <v>1256</v>
      </c>
      <c r="C19" s="24" t="s">
        <v>1257</v>
      </c>
    </row>
    <row r="20" spans="1:3" x14ac:dyDescent="0.35">
      <c r="A20" s="7">
        <v>18</v>
      </c>
      <c r="B20" s="23" t="s">
        <v>1258</v>
      </c>
      <c r="C20" s="24" t="s">
        <v>1259</v>
      </c>
    </row>
    <row r="21" spans="1:3" x14ac:dyDescent="0.35">
      <c r="A21" s="7">
        <v>19</v>
      </c>
      <c r="B21" s="23" t="s">
        <v>1260</v>
      </c>
      <c r="C21" s="24" t="s">
        <v>1261</v>
      </c>
    </row>
    <row r="22" spans="1:3" x14ac:dyDescent="0.35">
      <c r="A22" s="7">
        <v>20</v>
      </c>
      <c r="B22" s="23" t="s">
        <v>1262</v>
      </c>
      <c r="C22" s="24" t="s">
        <v>1263</v>
      </c>
    </row>
    <row r="23" spans="1:3" x14ac:dyDescent="0.35">
      <c r="A23" s="7">
        <v>21</v>
      </c>
      <c r="B23" s="23" t="s">
        <v>1264</v>
      </c>
      <c r="C23" s="24" t="s">
        <v>1265</v>
      </c>
    </row>
    <row r="24" spans="1:3" x14ac:dyDescent="0.35">
      <c r="A24" s="7">
        <v>22</v>
      </c>
      <c r="B24" s="23" t="s">
        <v>1266</v>
      </c>
      <c r="C24" s="24" t="s">
        <v>1267</v>
      </c>
    </row>
    <row r="25" spans="1:3" x14ac:dyDescent="0.35">
      <c r="A25" s="7">
        <v>23</v>
      </c>
      <c r="B25" s="23" t="s">
        <v>1268</v>
      </c>
      <c r="C25" s="24" t="s">
        <v>1269</v>
      </c>
    </row>
    <row r="26" spans="1:3" x14ac:dyDescent="0.35">
      <c r="A26" s="7">
        <v>24</v>
      </c>
      <c r="B26" s="23" t="s">
        <v>1270</v>
      </c>
      <c r="C26" s="24" t="s">
        <v>1271</v>
      </c>
    </row>
    <row r="27" spans="1:3" x14ac:dyDescent="0.35">
      <c r="A27" s="7">
        <v>25</v>
      </c>
      <c r="B27" s="23" t="s">
        <v>1272</v>
      </c>
      <c r="C27" s="24" t="s">
        <v>1273</v>
      </c>
    </row>
    <row r="28" spans="1:3" x14ac:dyDescent="0.35">
      <c r="A28" s="7">
        <v>26</v>
      </c>
      <c r="B28" s="23" t="s">
        <v>1274</v>
      </c>
      <c r="C28" s="24" t="s">
        <v>1275</v>
      </c>
    </row>
    <row r="29" spans="1:3" x14ac:dyDescent="0.35">
      <c r="A29" s="7">
        <v>27</v>
      </c>
      <c r="B29" s="23" t="s">
        <v>1276</v>
      </c>
      <c r="C29" s="24" t="s">
        <v>1277</v>
      </c>
    </row>
    <row r="30" spans="1:3" x14ac:dyDescent="0.35">
      <c r="A30" s="7">
        <v>28</v>
      </c>
      <c r="B30" s="23" t="s">
        <v>1278</v>
      </c>
      <c r="C30" s="24" t="s">
        <v>1279</v>
      </c>
    </row>
    <row r="31" spans="1:3" x14ac:dyDescent="0.35">
      <c r="A31" s="7">
        <v>29</v>
      </c>
      <c r="B31" s="23" t="s">
        <v>1280</v>
      </c>
      <c r="C31" s="24" t="s">
        <v>1281</v>
      </c>
    </row>
    <row r="32" spans="1:3" x14ac:dyDescent="0.35">
      <c r="A32" s="7">
        <v>30</v>
      </c>
      <c r="B32" s="23" t="s">
        <v>1282</v>
      </c>
      <c r="C32" s="24" t="s">
        <v>1283</v>
      </c>
    </row>
    <row r="33" spans="1:3" x14ac:dyDescent="0.35">
      <c r="A33" s="7">
        <v>31</v>
      </c>
      <c r="B33" s="23" t="s">
        <v>1284</v>
      </c>
      <c r="C33" s="24" t="s">
        <v>1285</v>
      </c>
    </row>
    <row r="34" spans="1:3" x14ac:dyDescent="0.35">
      <c r="A34" s="7">
        <v>32</v>
      </c>
      <c r="B34" s="23" t="s">
        <v>1286</v>
      </c>
      <c r="C34" s="24" t="s">
        <v>1287</v>
      </c>
    </row>
    <row r="35" spans="1:3" x14ac:dyDescent="0.35">
      <c r="A35" s="7">
        <v>33</v>
      </c>
      <c r="B35" s="23" t="s">
        <v>1288</v>
      </c>
      <c r="C35" s="24" t="s">
        <v>1289</v>
      </c>
    </row>
    <row r="36" spans="1:3" x14ac:dyDescent="0.35">
      <c r="A36" s="7">
        <v>34</v>
      </c>
      <c r="B36" s="23" t="s">
        <v>1290</v>
      </c>
      <c r="C36" s="24" t="s">
        <v>1291</v>
      </c>
    </row>
    <row r="37" spans="1:3" x14ac:dyDescent="0.35">
      <c r="A37" s="7">
        <v>35</v>
      </c>
      <c r="B37" s="23" t="s">
        <v>1292</v>
      </c>
      <c r="C37" s="24" t="s">
        <v>1293</v>
      </c>
    </row>
    <row r="38" spans="1:3" x14ac:dyDescent="0.35">
      <c r="A38" s="7">
        <v>36</v>
      </c>
      <c r="B38" s="23" t="s">
        <v>1294</v>
      </c>
      <c r="C38" s="24" t="s">
        <v>1295</v>
      </c>
    </row>
    <row r="39" spans="1:3" x14ac:dyDescent="0.35">
      <c r="A39" s="7">
        <v>37</v>
      </c>
      <c r="B39" s="23" t="s">
        <v>1296</v>
      </c>
      <c r="C39" s="24" t="s">
        <v>1297</v>
      </c>
    </row>
    <row r="40" spans="1:3" x14ac:dyDescent="0.35">
      <c r="A40" s="7">
        <v>38</v>
      </c>
      <c r="B40" s="23" t="s">
        <v>1298</v>
      </c>
      <c r="C40" s="24" t="s">
        <v>1299</v>
      </c>
    </row>
    <row r="41" spans="1:3" x14ac:dyDescent="0.35">
      <c r="A41" s="7">
        <v>39</v>
      </c>
      <c r="B41" s="23" t="s">
        <v>1300</v>
      </c>
      <c r="C41" s="24" t="s">
        <v>1301</v>
      </c>
    </row>
    <row r="42" spans="1:3" x14ac:dyDescent="0.35">
      <c r="A42" s="7">
        <v>40</v>
      </c>
      <c r="B42" s="23" t="s">
        <v>1302</v>
      </c>
      <c r="C42" s="24" t="s">
        <v>1303</v>
      </c>
    </row>
    <row r="43" spans="1:3" x14ac:dyDescent="0.35">
      <c r="A43" s="7">
        <v>41</v>
      </c>
      <c r="B43" s="23" t="s">
        <v>1304</v>
      </c>
      <c r="C43" s="24" t="s">
        <v>1305</v>
      </c>
    </row>
    <row r="44" spans="1:3" x14ac:dyDescent="0.35">
      <c r="A44" s="7">
        <v>42</v>
      </c>
      <c r="B44" s="23" t="s">
        <v>1306</v>
      </c>
      <c r="C44" s="24" t="s">
        <v>1307</v>
      </c>
    </row>
    <row r="45" spans="1:3" x14ac:dyDescent="0.35">
      <c r="A45" s="7">
        <v>43</v>
      </c>
      <c r="B45" s="23" t="s">
        <v>1308</v>
      </c>
      <c r="C45" s="24" t="s">
        <v>1309</v>
      </c>
    </row>
    <row r="46" spans="1:3" x14ac:dyDescent="0.35">
      <c r="A46" s="7">
        <v>44</v>
      </c>
      <c r="B46" s="23" t="s">
        <v>1310</v>
      </c>
      <c r="C46" s="24" t="s">
        <v>1311</v>
      </c>
    </row>
    <row r="47" spans="1:3" x14ac:dyDescent="0.35">
      <c r="A47" s="7">
        <v>45</v>
      </c>
      <c r="B47" s="23" t="s">
        <v>1312</v>
      </c>
      <c r="C47" s="24" t="s">
        <v>1313</v>
      </c>
    </row>
    <row r="48" spans="1:3" x14ac:dyDescent="0.35">
      <c r="A48" s="7">
        <v>46</v>
      </c>
      <c r="B48" s="23" t="s">
        <v>1314</v>
      </c>
      <c r="C48" s="24" t="s">
        <v>1315</v>
      </c>
    </row>
    <row r="49" spans="1:3" x14ac:dyDescent="0.35">
      <c r="A49" s="7">
        <v>47</v>
      </c>
      <c r="B49" s="23" t="s">
        <v>1316</v>
      </c>
      <c r="C49" s="24" t="s">
        <v>1317</v>
      </c>
    </row>
    <row r="50" spans="1:3" x14ac:dyDescent="0.35">
      <c r="A50" s="7">
        <v>48</v>
      </c>
      <c r="B50" s="23" t="s">
        <v>1318</v>
      </c>
      <c r="C50" s="24" t="s">
        <v>1319</v>
      </c>
    </row>
    <row r="51" spans="1:3" x14ac:dyDescent="0.35">
      <c r="A51" s="7">
        <v>49</v>
      </c>
      <c r="B51" s="23" t="s">
        <v>1320</v>
      </c>
      <c r="C51" s="24" t="s">
        <v>1321</v>
      </c>
    </row>
    <row r="52" spans="1:3" x14ac:dyDescent="0.35">
      <c r="A52" s="7">
        <v>50</v>
      </c>
      <c r="B52" s="23" t="s">
        <v>1322</v>
      </c>
      <c r="C52" s="24" t="s">
        <v>1323</v>
      </c>
    </row>
    <row r="53" spans="1:3" x14ac:dyDescent="0.35">
      <c r="A53" s="7">
        <v>51</v>
      </c>
      <c r="B53" s="23" t="s">
        <v>1324</v>
      </c>
      <c r="C53" s="24" t="s">
        <v>1325</v>
      </c>
    </row>
    <row r="54" spans="1:3" x14ac:dyDescent="0.35">
      <c r="A54" s="7">
        <v>52</v>
      </c>
      <c r="B54" s="23" t="s">
        <v>1326</v>
      </c>
      <c r="C54" s="24" t="s">
        <v>1327</v>
      </c>
    </row>
    <row r="55" spans="1:3" x14ac:dyDescent="0.35">
      <c r="A55" s="7">
        <v>53</v>
      </c>
      <c r="B55" s="23" t="s">
        <v>1328</v>
      </c>
      <c r="C55" s="24" t="s">
        <v>1329</v>
      </c>
    </row>
    <row r="56" spans="1:3" x14ac:dyDescent="0.35">
      <c r="A56" s="7">
        <v>54</v>
      </c>
      <c r="B56" s="23" t="s">
        <v>1330</v>
      </c>
      <c r="C56" s="24" t="s">
        <v>1331</v>
      </c>
    </row>
    <row r="57" spans="1:3" x14ac:dyDescent="0.35">
      <c r="A57" s="7">
        <v>55</v>
      </c>
      <c r="B57" s="23" t="s">
        <v>1332</v>
      </c>
      <c r="C57" s="24" t="s">
        <v>1333</v>
      </c>
    </row>
    <row r="58" spans="1:3" x14ac:dyDescent="0.35">
      <c r="A58" s="7">
        <v>56</v>
      </c>
      <c r="B58" s="23" t="s">
        <v>1334</v>
      </c>
      <c r="C58" s="24" t="s">
        <v>1335</v>
      </c>
    </row>
    <row r="59" spans="1:3" x14ac:dyDescent="0.35">
      <c r="A59" s="7">
        <v>57</v>
      </c>
      <c r="B59" s="23" t="s">
        <v>1336</v>
      </c>
      <c r="C59" s="24" t="s">
        <v>1337</v>
      </c>
    </row>
    <row r="60" spans="1:3" x14ac:dyDescent="0.35">
      <c r="A60" s="7">
        <v>58</v>
      </c>
      <c r="B60" s="23" t="s">
        <v>1338</v>
      </c>
      <c r="C60" s="24" t="s">
        <v>1339</v>
      </c>
    </row>
    <row r="61" spans="1:3" x14ac:dyDescent="0.35">
      <c r="A61" s="7">
        <v>59</v>
      </c>
      <c r="B61" s="23" t="s">
        <v>1340</v>
      </c>
      <c r="C61" s="24" t="s">
        <v>1341</v>
      </c>
    </row>
    <row r="62" spans="1:3" x14ac:dyDescent="0.35">
      <c r="A62" s="7">
        <v>60</v>
      </c>
      <c r="B62" s="23" t="s">
        <v>1342</v>
      </c>
      <c r="C62" s="24" t="s">
        <v>1343</v>
      </c>
    </row>
    <row r="63" spans="1:3" x14ac:dyDescent="0.35">
      <c r="A63" s="7">
        <v>61</v>
      </c>
      <c r="B63" s="23" t="s">
        <v>1344</v>
      </c>
      <c r="C63" s="24" t="s">
        <v>1345</v>
      </c>
    </row>
    <row r="64" spans="1:3" x14ac:dyDescent="0.35">
      <c r="A64" s="7">
        <v>62</v>
      </c>
      <c r="B64" s="23" t="s">
        <v>1346</v>
      </c>
      <c r="C64" s="24" t="s">
        <v>1347</v>
      </c>
    </row>
    <row r="65" spans="1:3" x14ac:dyDescent="0.35">
      <c r="A65" s="7">
        <v>63</v>
      </c>
      <c r="B65" s="23" t="s">
        <v>1348</v>
      </c>
      <c r="C65" s="24" t="s">
        <v>1349</v>
      </c>
    </row>
    <row r="66" spans="1:3" x14ac:dyDescent="0.35">
      <c r="A66" s="7">
        <v>64</v>
      </c>
      <c r="B66" s="23" t="s">
        <v>1350</v>
      </c>
      <c r="C66" s="24" t="s">
        <v>1351</v>
      </c>
    </row>
    <row r="67" spans="1:3" x14ac:dyDescent="0.35">
      <c r="A67" s="7">
        <v>65</v>
      </c>
      <c r="B67" s="23" t="s">
        <v>1352</v>
      </c>
      <c r="C67" s="24" t="s">
        <v>1353</v>
      </c>
    </row>
    <row r="68" spans="1:3" x14ac:dyDescent="0.35">
      <c r="A68" s="7">
        <v>66</v>
      </c>
      <c r="B68" s="23" t="s">
        <v>1354</v>
      </c>
      <c r="C68" s="24" t="s">
        <v>1355</v>
      </c>
    </row>
    <row r="69" spans="1:3" x14ac:dyDescent="0.35">
      <c r="A69" s="7">
        <v>67</v>
      </c>
      <c r="B69" s="23" t="s">
        <v>1356</v>
      </c>
      <c r="C69" s="24" t="s">
        <v>1357</v>
      </c>
    </row>
    <row r="70" spans="1:3" x14ac:dyDescent="0.35">
      <c r="A70" s="7">
        <v>68</v>
      </c>
      <c r="B70" s="23" t="s">
        <v>1358</v>
      </c>
      <c r="C70" s="24" t="s">
        <v>1359</v>
      </c>
    </row>
    <row r="71" spans="1:3" x14ac:dyDescent="0.35">
      <c r="A71" s="7">
        <v>69</v>
      </c>
      <c r="B71" s="23" t="s">
        <v>1360</v>
      </c>
      <c r="C71" s="24" t="s">
        <v>1361</v>
      </c>
    </row>
    <row r="72" spans="1:3" x14ac:dyDescent="0.35">
      <c r="A72" s="7">
        <v>70</v>
      </c>
      <c r="B72" s="23" t="s">
        <v>1362</v>
      </c>
      <c r="C72" s="24" t="s">
        <v>1363</v>
      </c>
    </row>
    <row r="73" spans="1:3" x14ac:dyDescent="0.35">
      <c r="A73" s="7">
        <v>71</v>
      </c>
      <c r="B73" s="23" t="s">
        <v>1364</v>
      </c>
      <c r="C73" s="24" t="s">
        <v>1365</v>
      </c>
    </row>
    <row r="74" spans="1:3" x14ac:dyDescent="0.35">
      <c r="A74" s="7">
        <v>72</v>
      </c>
      <c r="B74" s="23" t="s">
        <v>1366</v>
      </c>
      <c r="C74" s="24" t="s">
        <v>1367</v>
      </c>
    </row>
    <row r="75" spans="1:3" x14ac:dyDescent="0.35">
      <c r="A75" s="7">
        <v>73</v>
      </c>
      <c r="B75" s="23" t="s">
        <v>1368</v>
      </c>
      <c r="C75" s="24" t="s">
        <v>1369</v>
      </c>
    </row>
    <row r="76" spans="1:3" x14ac:dyDescent="0.35">
      <c r="A76" s="7">
        <v>74</v>
      </c>
      <c r="B76" s="23" t="s">
        <v>1370</v>
      </c>
      <c r="C76" s="24" t="s">
        <v>1371</v>
      </c>
    </row>
    <row r="77" spans="1:3" x14ac:dyDescent="0.35">
      <c r="A77" s="7">
        <v>75</v>
      </c>
      <c r="B77" s="23" t="s">
        <v>1372</v>
      </c>
      <c r="C77" s="24" t="s">
        <v>1373</v>
      </c>
    </row>
    <row r="78" spans="1:3" x14ac:dyDescent="0.35">
      <c r="A78" s="7">
        <v>76</v>
      </c>
      <c r="B78" s="23" t="s">
        <v>1374</v>
      </c>
      <c r="C78" s="24" t="s">
        <v>1375</v>
      </c>
    </row>
    <row r="79" spans="1:3" x14ac:dyDescent="0.35">
      <c r="A79" s="7">
        <v>77</v>
      </c>
      <c r="B79" s="23" t="s">
        <v>1376</v>
      </c>
      <c r="C79" s="24" t="s">
        <v>1377</v>
      </c>
    </row>
    <row r="80" spans="1:3" ht="15" thickBot="1" x14ac:dyDescent="0.4">
      <c r="A80" s="10">
        <v>78</v>
      </c>
      <c r="B80" s="25" t="s">
        <v>1378</v>
      </c>
      <c r="C80" s="27" t="s">
        <v>1379</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68C9E-2880-43CE-A271-704084FBCEB3}">
  <dimension ref="A1:C11"/>
  <sheetViews>
    <sheetView workbookViewId="0">
      <selection activeCell="E7" sqref="E7"/>
    </sheetView>
  </sheetViews>
  <sheetFormatPr baseColWidth="10" defaultRowHeight="14.5" x14ac:dyDescent="0.35"/>
  <sheetData>
    <row r="1" spans="1:3" x14ac:dyDescent="0.35">
      <c r="A1" s="43" t="s">
        <v>1380</v>
      </c>
      <c r="B1" s="44"/>
      <c r="C1" s="45"/>
    </row>
    <row r="2" spans="1:3" ht="15" thickBot="1" x14ac:dyDescent="0.4">
      <c r="A2" s="46" t="s">
        <v>0</v>
      </c>
      <c r="B2" s="47" t="s">
        <v>1</v>
      </c>
      <c r="C2" s="48" t="s">
        <v>2</v>
      </c>
    </row>
    <row r="3" spans="1:3" ht="40" customHeight="1" x14ac:dyDescent="0.35">
      <c r="A3" s="4">
        <v>1</v>
      </c>
      <c r="B3" s="5" t="s">
        <v>1381</v>
      </c>
      <c r="C3" s="6" t="s">
        <v>1382</v>
      </c>
    </row>
    <row r="4" spans="1:3" ht="40" customHeight="1" x14ac:dyDescent="0.35">
      <c r="A4" s="7">
        <v>2</v>
      </c>
      <c r="B4" s="8" t="s">
        <v>1383</v>
      </c>
      <c r="C4" s="8" t="s">
        <v>1384</v>
      </c>
    </row>
    <row r="5" spans="1:3" ht="40" customHeight="1" x14ac:dyDescent="0.35">
      <c r="A5" s="7">
        <v>3</v>
      </c>
      <c r="B5" s="8" t="s">
        <v>1385</v>
      </c>
      <c r="C5" s="9" t="s">
        <v>1386</v>
      </c>
    </row>
    <row r="6" spans="1:3" ht="40" customHeight="1" x14ac:dyDescent="0.35">
      <c r="A6" s="7">
        <v>4</v>
      </c>
      <c r="B6" s="8" t="s">
        <v>1387</v>
      </c>
      <c r="C6" s="9" t="s">
        <v>1388</v>
      </c>
    </row>
    <row r="7" spans="1:3" ht="40" customHeight="1" x14ac:dyDescent="0.35">
      <c r="A7" s="7">
        <v>5</v>
      </c>
      <c r="B7" s="8" t="s">
        <v>1389</v>
      </c>
      <c r="C7" s="9" t="s">
        <v>1390</v>
      </c>
    </row>
    <row r="8" spans="1:3" ht="40" customHeight="1" x14ac:dyDescent="0.35">
      <c r="A8" s="7">
        <v>6</v>
      </c>
      <c r="B8" s="8" t="s">
        <v>1391</v>
      </c>
      <c r="C8" s="9" t="s">
        <v>1392</v>
      </c>
    </row>
    <row r="9" spans="1:3" ht="40" customHeight="1" x14ac:dyDescent="0.35">
      <c r="A9" s="7">
        <v>7</v>
      </c>
      <c r="B9" s="8" t="s">
        <v>1393</v>
      </c>
      <c r="C9" s="9" t="s">
        <v>1394</v>
      </c>
    </row>
    <row r="10" spans="1:3" ht="40" customHeight="1" x14ac:dyDescent="0.35">
      <c r="A10" s="7">
        <v>8</v>
      </c>
      <c r="B10" s="8" t="s">
        <v>1395</v>
      </c>
      <c r="C10" s="9" t="s">
        <v>1396</v>
      </c>
    </row>
    <row r="11" spans="1:3" ht="40" customHeight="1" thickBot="1" x14ac:dyDescent="0.4">
      <c r="A11" s="10">
        <v>9</v>
      </c>
      <c r="B11" s="11" t="s">
        <v>1397</v>
      </c>
      <c r="C11" s="12" t="s">
        <v>1398</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7BA6F-EBBB-47F2-9EFE-7319C4E9CC77}">
  <dimension ref="A1:C11"/>
  <sheetViews>
    <sheetView workbookViewId="0">
      <selection activeCell="F3" sqref="F3"/>
    </sheetView>
  </sheetViews>
  <sheetFormatPr baseColWidth="10" defaultRowHeight="14.5" x14ac:dyDescent="0.35"/>
  <sheetData>
    <row r="1" spans="1:3" x14ac:dyDescent="0.35">
      <c r="A1" s="43" t="s">
        <v>1380</v>
      </c>
      <c r="B1" s="44"/>
      <c r="C1" s="45"/>
    </row>
    <row r="2" spans="1:3" ht="15" thickBot="1" x14ac:dyDescent="0.4">
      <c r="A2" s="46" t="s">
        <v>0</v>
      </c>
      <c r="B2" s="47" t="s">
        <v>1</v>
      </c>
      <c r="C2" s="48" t="s">
        <v>2</v>
      </c>
    </row>
    <row r="3" spans="1:3" ht="40" customHeight="1" x14ac:dyDescent="0.35">
      <c r="A3" s="4">
        <v>1</v>
      </c>
      <c r="B3" s="5" t="s">
        <v>1381</v>
      </c>
      <c r="C3" s="6" t="s">
        <v>1382</v>
      </c>
    </row>
    <row r="4" spans="1:3" ht="40" customHeight="1" x14ac:dyDescent="0.35">
      <c r="A4" s="7">
        <v>2</v>
      </c>
      <c r="B4" s="8" t="s">
        <v>1383</v>
      </c>
      <c r="C4" s="8" t="s">
        <v>1384</v>
      </c>
    </row>
    <row r="5" spans="1:3" ht="40" customHeight="1" x14ac:dyDescent="0.35">
      <c r="A5" s="7">
        <v>3</v>
      </c>
      <c r="B5" s="8" t="s">
        <v>1385</v>
      </c>
      <c r="C5" s="9" t="s">
        <v>1386</v>
      </c>
    </row>
    <row r="6" spans="1:3" ht="40" customHeight="1" x14ac:dyDescent="0.35">
      <c r="A6" s="7">
        <v>4</v>
      </c>
      <c r="B6" s="8" t="s">
        <v>1387</v>
      </c>
      <c r="C6" s="9" t="s">
        <v>1388</v>
      </c>
    </row>
    <row r="7" spans="1:3" ht="40" customHeight="1" x14ac:dyDescent="0.35">
      <c r="A7" s="7">
        <v>5</v>
      </c>
      <c r="B7" s="8" t="s">
        <v>1389</v>
      </c>
      <c r="C7" s="9" t="s">
        <v>1390</v>
      </c>
    </row>
    <row r="8" spans="1:3" ht="40" customHeight="1" x14ac:dyDescent="0.35">
      <c r="A8" s="7">
        <v>6</v>
      </c>
      <c r="B8" s="8" t="s">
        <v>1391</v>
      </c>
      <c r="C8" s="9" t="s">
        <v>1392</v>
      </c>
    </row>
    <row r="9" spans="1:3" ht="40" customHeight="1" x14ac:dyDescent="0.35">
      <c r="A9" s="7">
        <v>7</v>
      </c>
      <c r="B9" s="8" t="s">
        <v>1393</v>
      </c>
      <c r="C9" s="9" t="s">
        <v>1394</v>
      </c>
    </row>
    <row r="10" spans="1:3" ht="40" customHeight="1" x14ac:dyDescent="0.35">
      <c r="A10" s="7">
        <v>8</v>
      </c>
      <c r="B10" s="8" t="s">
        <v>1395</v>
      </c>
      <c r="C10" s="9" t="s">
        <v>1396</v>
      </c>
    </row>
    <row r="11" spans="1:3" ht="40" customHeight="1" thickBot="1" x14ac:dyDescent="0.4">
      <c r="A11" s="10">
        <v>9</v>
      </c>
      <c r="B11" s="11" t="s">
        <v>1397</v>
      </c>
      <c r="C11" s="12" t="s">
        <v>1398</v>
      </c>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C362E-5D77-412F-95CC-77B7DC389784}">
  <dimension ref="A1:C11"/>
  <sheetViews>
    <sheetView workbookViewId="0">
      <selection activeCell="F5" sqref="F5"/>
    </sheetView>
  </sheetViews>
  <sheetFormatPr baseColWidth="10" defaultRowHeight="14.5" x14ac:dyDescent="0.35"/>
  <sheetData>
    <row r="1" spans="1:3" x14ac:dyDescent="0.35">
      <c r="A1" s="43" t="s">
        <v>1399</v>
      </c>
      <c r="B1" s="44"/>
      <c r="C1" s="45"/>
    </row>
    <row r="2" spans="1:3" ht="15" thickBot="1" x14ac:dyDescent="0.4">
      <c r="A2" s="46" t="s">
        <v>0</v>
      </c>
      <c r="B2" s="47" t="s">
        <v>1</v>
      </c>
      <c r="C2" s="48" t="s">
        <v>2</v>
      </c>
    </row>
    <row r="3" spans="1:3" ht="40" customHeight="1" x14ac:dyDescent="0.35">
      <c r="A3" s="4">
        <v>1</v>
      </c>
      <c r="B3" s="5" t="s">
        <v>1400</v>
      </c>
      <c r="C3" s="6" t="s">
        <v>1401</v>
      </c>
    </row>
    <row r="4" spans="1:3" ht="40" customHeight="1" x14ac:dyDescent="0.35">
      <c r="A4" s="7">
        <v>2</v>
      </c>
      <c r="B4" s="8" t="s">
        <v>1402</v>
      </c>
      <c r="C4" s="9" t="s">
        <v>1403</v>
      </c>
    </row>
    <row r="5" spans="1:3" ht="40" customHeight="1" x14ac:dyDescent="0.35">
      <c r="A5" s="7">
        <v>3</v>
      </c>
      <c r="B5" s="8" t="s">
        <v>1404</v>
      </c>
      <c r="C5" s="9" t="s">
        <v>1405</v>
      </c>
    </row>
    <row r="6" spans="1:3" ht="40" customHeight="1" x14ac:dyDescent="0.35">
      <c r="A6" s="7">
        <v>4</v>
      </c>
      <c r="B6" s="8" t="s">
        <v>1406</v>
      </c>
      <c r="C6" s="9" t="s">
        <v>1407</v>
      </c>
    </row>
    <row r="7" spans="1:3" ht="40" customHeight="1" x14ac:dyDescent="0.35">
      <c r="A7" s="7">
        <v>5</v>
      </c>
      <c r="B7" s="8" t="s">
        <v>1408</v>
      </c>
      <c r="C7" s="9" t="s">
        <v>1409</v>
      </c>
    </row>
    <row r="8" spans="1:3" ht="40" customHeight="1" x14ac:dyDescent="0.35">
      <c r="A8" s="7">
        <v>6</v>
      </c>
      <c r="B8" s="8" t="s">
        <v>1410</v>
      </c>
      <c r="C8" s="9" t="s">
        <v>1411</v>
      </c>
    </row>
    <row r="9" spans="1:3" ht="40" customHeight="1" x14ac:dyDescent="0.35">
      <c r="A9" s="7">
        <v>7</v>
      </c>
      <c r="B9" s="8" t="s">
        <v>1412</v>
      </c>
      <c r="C9" s="9" t="s">
        <v>1413</v>
      </c>
    </row>
    <row r="10" spans="1:3" ht="40" customHeight="1" x14ac:dyDescent="0.35">
      <c r="A10" s="7">
        <v>8</v>
      </c>
      <c r="B10" s="8" t="s">
        <v>1414</v>
      </c>
      <c r="C10" s="9" t="s">
        <v>1415</v>
      </c>
    </row>
    <row r="11" spans="1:3" ht="40" customHeight="1" thickBot="1" x14ac:dyDescent="0.4">
      <c r="A11" s="10">
        <v>9</v>
      </c>
      <c r="B11" s="11" t="s">
        <v>1416</v>
      </c>
      <c r="C11" s="12" t="s">
        <v>1417</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123D2-5C63-4875-B2A7-C9968CC153EA}">
  <dimension ref="A1:C11"/>
  <sheetViews>
    <sheetView workbookViewId="0">
      <selection activeCell="D4" sqref="D4"/>
    </sheetView>
  </sheetViews>
  <sheetFormatPr baseColWidth="10" defaultRowHeight="14.5" x14ac:dyDescent="0.35"/>
  <sheetData>
    <row r="1" spans="1:3" ht="15" thickBot="1" x14ac:dyDescent="0.4">
      <c r="A1" s="15" t="s">
        <v>1418</v>
      </c>
      <c r="B1" s="16"/>
      <c r="C1" s="17"/>
    </row>
    <row r="2" spans="1:3" ht="15" thickBot="1" x14ac:dyDescent="0.4">
      <c r="A2" s="1" t="s">
        <v>0</v>
      </c>
      <c r="B2" s="2" t="s">
        <v>1</v>
      </c>
      <c r="C2" s="3" t="s">
        <v>2</v>
      </c>
    </row>
    <row r="3" spans="1:3" ht="40" customHeight="1" x14ac:dyDescent="0.35">
      <c r="A3" s="4">
        <v>1</v>
      </c>
      <c r="B3" s="5" t="s">
        <v>1419</v>
      </c>
      <c r="C3" s="6" t="s">
        <v>1420</v>
      </c>
    </row>
    <row r="4" spans="1:3" ht="40" customHeight="1" x14ac:dyDescent="0.35">
      <c r="A4" s="7">
        <v>2</v>
      </c>
      <c r="B4" s="8" t="s">
        <v>1421</v>
      </c>
      <c r="C4" s="9" t="s">
        <v>1422</v>
      </c>
    </row>
    <row r="5" spans="1:3" ht="40" customHeight="1" x14ac:dyDescent="0.35">
      <c r="A5" s="7">
        <v>3</v>
      </c>
      <c r="B5" s="8" t="s">
        <v>1423</v>
      </c>
      <c r="C5" s="9" t="s">
        <v>1424</v>
      </c>
    </row>
    <row r="6" spans="1:3" ht="40" customHeight="1" x14ac:dyDescent="0.35">
      <c r="A6" s="7">
        <v>4</v>
      </c>
      <c r="B6" s="8" t="s">
        <v>1425</v>
      </c>
      <c r="C6" s="9" t="s">
        <v>1426</v>
      </c>
    </row>
    <row r="7" spans="1:3" ht="40" customHeight="1" x14ac:dyDescent="0.35">
      <c r="A7" s="7">
        <v>5</v>
      </c>
      <c r="B7" s="8" t="s">
        <v>1427</v>
      </c>
      <c r="C7" s="9" t="s">
        <v>1428</v>
      </c>
    </row>
    <row r="8" spans="1:3" ht="40" customHeight="1" x14ac:dyDescent="0.35">
      <c r="A8" s="7">
        <v>6</v>
      </c>
      <c r="B8" s="8" t="s">
        <v>1429</v>
      </c>
      <c r="C8" s="9" t="s">
        <v>1430</v>
      </c>
    </row>
    <row r="9" spans="1:3" ht="40" customHeight="1" x14ac:dyDescent="0.35">
      <c r="A9" s="7">
        <v>7</v>
      </c>
      <c r="B9" s="8" t="s">
        <v>1431</v>
      </c>
      <c r="C9" s="9" t="s">
        <v>1432</v>
      </c>
    </row>
    <row r="10" spans="1:3" ht="40" customHeight="1" x14ac:dyDescent="0.35">
      <c r="A10" s="7">
        <v>8</v>
      </c>
      <c r="B10" s="8" t="s">
        <v>1433</v>
      </c>
      <c r="C10" s="9" t="s">
        <v>1434</v>
      </c>
    </row>
    <row r="11" spans="1:3" ht="40" customHeight="1" thickBot="1" x14ac:dyDescent="0.4">
      <c r="A11" s="10">
        <v>9</v>
      </c>
      <c r="B11" s="11" t="s">
        <v>1435</v>
      </c>
      <c r="C11" s="12" t="s">
        <v>1436</v>
      </c>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22B05-C613-4537-8AA8-43775B42DE44}">
  <dimension ref="A1:C11"/>
  <sheetViews>
    <sheetView workbookViewId="0">
      <selection activeCell="H9" sqref="H9"/>
    </sheetView>
  </sheetViews>
  <sheetFormatPr baseColWidth="10" defaultRowHeight="14.5" x14ac:dyDescent="0.35"/>
  <sheetData>
    <row r="1" spans="1:3" ht="15" thickBot="1" x14ac:dyDescent="0.4">
      <c r="A1" s="15" t="s">
        <v>121</v>
      </c>
      <c r="B1" s="16"/>
      <c r="C1" s="17"/>
    </row>
    <row r="2" spans="1:3" ht="15" thickBot="1" x14ac:dyDescent="0.4">
      <c r="A2" s="1" t="s">
        <v>0</v>
      </c>
      <c r="B2" s="2" t="s">
        <v>1</v>
      </c>
      <c r="C2" s="3" t="s">
        <v>2</v>
      </c>
    </row>
    <row r="3" spans="1:3" ht="40" customHeight="1" x14ac:dyDescent="0.35">
      <c r="A3" s="4">
        <v>1</v>
      </c>
      <c r="B3" s="5" t="s">
        <v>122</v>
      </c>
      <c r="C3" s="6" t="s">
        <v>123</v>
      </c>
    </row>
    <row r="4" spans="1:3" ht="40" customHeight="1" x14ac:dyDescent="0.35">
      <c r="A4" s="7">
        <v>2</v>
      </c>
      <c r="B4" s="8" t="s">
        <v>124</v>
      </c>
      <c r="C4" s="9" t="s">
        <v>125</v>
      </c>
    </row>
    <row r="5" spans="1:3" ht="40" customHeight="1" x14ac:dyDescent="0.35">
      <c r="A5" s="7">
        <v>3</v>
      </c>
      <c r="B5" s="8" t="s">
        <v>126</v>
      </c>
      <c r="C5" s="9" t="s">
        <v>127</v>
      </c>
    </row>
    <row r="6" spans="1:3" ht="40" customHeight="1" x14ac:dyDescent="0.35">
      <c r="A6" s="7">
        <v>4</v>
      </c>
      <c r="B6" s="8" t="s">
        <v>128</v>
      </c>
      <c r="C6" s="9" t="s">
        <v>129</v>
      </c>
    </row>
    <row r="7" spans="1:3" ht="40" customHeight="1" x14ac:dyDescent="0.35">
      <c r="A7" s="7">
        <v>5</v>
      </c>
      <c r="B7" s="8" t="s">
        <v>130</v>
      </c>
      <c r="C7" s="9" t="s">
        <v>131</v>
      </c>
    </row>
    <row r="8" spans="1:3" ht="40" customHeight="1" x14ac:dyDescent="0.35">
      <c r="A8" s="7">
        <v>6</v>
      </c>
      <c r="B8" s="8" t="s">
        <v>132</v>
      </c>
      <c r="C8" s="9" t="s">
        <v>133</v>
      </c>
    </row>
    <row r="9" spans="1:3" ht="40" customHeight="1" x14ac:dyDescent="0.35">
      <c r="A9" s="7">
        <v>7</v>
      </c>
      <c r="B9" s="8" t="s">
        <v>134</v>
      </c>
      <c r="C9" s="9" t="s">
        <v>135</v>
      </c>
    </row>
    <row r="10" spans="1:3" ht="40" customHeight="1" x14ac:dyDescent="0.35">
      <c r="A10" s="7">
        <v>8</v>
      </c>
      <c r="B10" s="8" t="s">
        <v>136</v>
      </c>
      <c r="C10" s="9" t="s">
        <v>137</v>
      </c>
    </row>
    <row r="11" spans="1:3" ht="40" customHeight="1" thickBot="1" x14ac:dyDescent="0.4">
      <c r="A11" s="10">
        <v>9</v>
      </c>
      <c r="B11" s="11" t="s">
        <v>138</v>
      </c>
      <c r="C11" s="12" t="s">
        <v>139</v>
      </c>
    </row>
  </sheetData>
  <mergeCells count="1">
    <mergeCell ref="A1:C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CB56A-C3D4-4E83-A59C-E41AB3E06A80}">
  <dimension ref="A1:C12"/>
  <sheetViews>
    <sheetView tabSelected="1" workbookViewId="0">
      <selection activeCell="G5" sqref="G5"/>
    </sheetView>
  </sheetViews>
  <sheetFormatPr baseColWidth="10" defaultRowHeight="14.5" x14ac:dyDescent="0.35"/>
  <sheetData>
    <row r="1" spans="1:3" ht="15" thickBot="1" x14ac:dyDescent="0.4">
      <c r="A1" s="18" t="s">
        <v>140</v>
      </c>
      <c r="B1" s="19"/>
      <c r="C1" s="20"/>
    </row>
    <row r="2" spans="1:3" ht="15" thickBot="1" x14ac:dyDescent="0.4">
      <c r="A2" s="1" t="s">
        <v>0</v>
      </c>
      <c r="B2" s="2" t="s">
        <v>1</v>
      </c>
      <c r="C2" s="3" t="s">
        <v>2</v>
      </c>
    </row>
    <row r="3" spans="1:3" ht="40" customHeight="1" x14ac:dyDescent="0.35">
      <c r="A3" s="4">
        <v>0</v>
      </c>
      <c r="B3" s="21" t="s">
        <v>141</v>
      </c>
      <c r="C3" s="22" t="s">
        <v>142</v>
      </c>
    </row>
    <row r="4" spans="1:3" ht="40" customHeight="1" x14ac:dyDescent="0.35">
      <c r="A4" s="7">
        <v>1</v>
      </c>
      <c r="B4" s="23" t="s">
        <v>143</v>
      </c>
      <c r="C4" s="24" t="s">
        <v>144</v>
      </c>
    </row>
    <row r="5" spans="1:3" ht="40" customHeight="1" x14ac:dyDescent="0.35">
      <c r="A5" s="7">
        <v>2</v>
      </c>
      <c r="B5" s="23" t="s">
        <v>145</v>
      </c>
      <c r="C5" s="24" t="s">
        <v>146</v>
      </c>
    </row>
    <row r="6" spans="1:3" ht="40" customHeight="1" x14ac:dyDescent="0.35">
      <c r="A6" s="7">
        <v>3</v>
      </c>
      <c r="B6" s="23" t="s">
        <v>147</v>
      </c>
      <c r="C6" s="24" t="s">
        <v>148</v>
      </c>
    </row>
    <row r="7" spans="1:3" ht="40" customHeight="1" x14ac:dyDescent="0.35">
      <c r="A7" s="7">
        <v>4</v>
      </c>
      <c r="B7" s="23" t="s">
        <v>149</v>
      </c>
      <c r="C7" s="24" t="s">
        <v>150</v>
      </c>
    </row>
    <row r="8" spans="1:3" ht="40" customHeight="1" x14ac:dyDescent="0.35">
      <c r="A8" s="7">
        <v>5</v>
      </c>
      <c r="B8" s="23" t="s">
        <v>151</v>
      </c>
      <c r="C8" s="24" t="s">
        <v>152</v>
      </c>
    </row>
    <row r="9" spans="1:3" ht="40" customHeight="1" x14ac:dyDescent="0.35">
      <c r="A9" s="7">
        <v>6</v>
      </c>
      <c r="B9" s="23" t="s">
        <v>153</v>
      </c>
      <c r="C9" s="24" t="s">
        <v>154</v>
      </c>
    </row>
    <row r="10" spans="1:3" ht="40" customHeight="1" x14ac:dyDescent="0.35">
      <c r="A10" s="7">
        <v>7</v>
      </c>
      <c r="B10" s="23" t="s">
        <v>155</v>
      </c>
      <c r="C10" s="24" t="s">
        <v>156</v>
      </c>
    </row>
    <row r="11" spans="1:3" ht="40" customHeight="1" x14ac:dyDescent="0.35">
      <c r="A11" s="7">
        <v>8</v>
      </c>
      <c r="B11" s="23" t="s">
        <v>157</v>
      </c>
      <c r="C11" s="24" t="s">
        <v>158</v>
      </c>
    </row>
    <row r="12" spans="1:3" ht="40" customHeight="1" thickBot="1" x14ac:dyDescent="0.4">
      <c r="A12" s="10">
        <v>9</v>
      </c>
      <c r="B12" s="25" t="s">
        <v>159</v>
      </c>
      <c r="C12" s="25" t="s">
        <v>160</v>
      </c>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80B03-2FD9-4B89-8D08-02BFC14810EC}">
  <dimension ref="A1:C12"/>
  <sheetViews>
    <sheetView workbookViewId="0">
      <selection activeCell="G3" sqref="G3"/>
    </sheetView>
  </sheetViews>
  <sheetFormatPr baseColWidth="10" defaultRowHeight="14.5" x14ac:dyDescent="0.35"/>
  <sheetData>
    <row r="1" spans="1:3" ht="15" thickBot="1" x14ac:dyDescent="0.4">
      <c r="A1" s="18" t="s">
        <v>161</v>
      </c>
      <c r="B1" s="19"/>
      <c r="C1" s="20"/>
    </row>
    <row r="2" spans="1:3" ht="15" thickBot="1" x14ac:dyDescent="0.4">
      <c r="A2" s="1" t="s">
        <v>0</v>
      </c>
      <c r="B2" s="2" t="s">
        <v>1</v>
      </c>
      <c r="C2" s="3" t="s">
        <v>2</v>
      </c>
    </row>
    <row r="3" spans="1:3" ht="40" customHeight="1" x14ac:dyDescent="0.35">
      <c r="A3" s="4">
        <v>0</v>
      </c>
      <c r="B3" s="21" t="s">
        <v>162</v>
      </c>
      <c r="C3" s="22" t="s">
        <v>142</v>
      </c>
    </row>
    <row r="4" spans="1:3" ht="40" customHeight="1" x14ac:dyDescent="0.35">
      <c r="A4" s="7">
        <v>1</v>
      </c>
      <c r="B4" s="23" t="s">
        <v>163</v>
      </c>
      <c r="C4" s="24" t="s">
        <v>144</v>
      </c>
    </row>
    <row r="5" spans="1:3" ht="40" customHeight="1" x14ac:dyDescent="0.35">
      <c r="A5" s="7">
        <v>2</v>
      </c>
      <c r="B5" s="23" t="s">
        <v>164</v>
      </c>
      <c r="C5" s="24" t="s">
        <v>146</v>
      </c>
    </row>
    <row r="6" spans="1:3" ht="40" customHeight="1" x14ac:dyDescent="0.35">
      <c r="A6" s="7">
        <v>3</v>
      </c>
      <c r="B6" s="23" t="s">
        <v>165</v>
      </c>
      <c r="C6" s="24" t="s">
        <v>148</v>
      </c>
    </row>
    <row r="7" spans="1:3" ht="40" customHeight="1" x14ac:dyDescent="0.35">
      <c r="A7" s="7">
        <v>4</v>
      </c>
      <c r="B7" s="23" t="s">
        <v>166</v>
      </c>
      <c r="C7" s="24" t="s">
        <v>150</v>
      </c>
    </row>
    <row r="8" spans="1:3" ht="40" customHeight="1" x14ac:dyDescent="0.35">
      <c r="A8" s="7">
        <v>5</v>
      </c>
      <c r="B8" s="23" t="s">
        <v>167</v>
      </c>
      <c r="C8" s="24" t="s">
        <v>152</v>
      </c>
    </row>
    <row r="9" spans="1:3" ht="40" customHeight="1" x14ac:dyDescent="0.35">
      <c r="A9" s="7">
        <v>6</v>
      </c>
      <c r="B9" s="23" t="s">
        <v>168</v>
      </c>
      <c r="C9" s="24" t="s">
        <v>154</v>
      </c>
    </row>
    <row r="10" spans="1:3" ht="40" customHeight="1" x14ac:dyDescent="0.35">
      <c r="A10" s="7">
        <v>7</v>
      </c>
      <c r="B10" s="23" t="s">
        <v>169</v>
      </c>
      <c r="C10" s="24" t="s">
        <v>156</v>
      </c>
    </row>
    <row r="11" spans="1:3" ht="40" customHeight="1" x14ac:dyDescent="0.35">
      <c r="A11" s="7">
        <v>8</v>
      </c>
      <c r="B11" s="23" t="s">
        <v>170</v>
      </c>
      <c r="C11" s="24" t="s">
        <v>158</v>
      </c>
    </row>
    <row r="12" spans="1:3" ht="40" customHeight="1" thickBot="1" x14ac:dyDescent="0.4">
      <c r="A12" s="10">
        <v>9</v>
      </c>
      <c r="B12" s="25" t="s">
        <v>171</v>
      </c>
      <c r="C12" s="25" t="s">
        <v>160</v>
      </c>
    </row>
  </sheetData>
  <mergeCells count="1">
    <mergeCell ref="A1:C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EEC3B-0C89-415E-BF1D-414B62C4B8D9}">
  <dimension ref="A1:C13"/>
  <sheetViews>
    <sheetView workbookViewId="0">
      <selection activeCell="A3" sqref="A3"/>
    </sheetView>
  </sheetViews>
  <sheetFormatPr baseColWidth="10" defaultRowHeight="14.5" x14ac:dyDescent="0.35"/>
  <sheetData>
    <row r="1" spans="1:3" ht="15" thickBot="1" x14ac:dyDescent="0.4">
      <c r="A1" s="15" t="s">
        <v>172</v>
      </c>
      <c r="B1" s="16"/>
      <c r="C1" s="17"/>
    </row>
    <row r="2" spans="1:3" ht="15" thickBot="1" x14ac:dyDescent="0.4">
      <c r="A2" s="1" t="s">
        <v>0</v>
      </c>
      <c r="B2" s="2" t="s">
        <v>1</v>
      </c>
      <c r="C2" s="3" t="s">
        <v>2</v>
      </c>
    </row>
    <row r="3" spans="1:3" ht="40" customHeight="1" x14ac:dyDescent="0.35">
      <c r="A3" s="4">
        <v>1</v>
      </c>
      <c r="B3" s="21" t="s">
        <v>173</v>
      </c>
      <c r="C3" s="22" t="s">
        <v>174</v>
      </c>
    </row>
    <row r="4" spans="1:3" ht="40" customHeight="1" x14ac:dyDescent="0.35">
      <c r="A4" s="7">
        <v>2</v>
      </c>
      <c r="B4" s="23" t="s">
        <v>175</v>
      </c>
      <c r="C4" s="24" t="s">
        <v>176</v>
      </c>
    </row>
    <row r="5" spans="1:3" ht="40" customHeight="1" x14ac:dyDescent="0.35">
      <c r="A5" s="7">
        <v>3</v>
      </c>
      <c r="B5" s="23" t="s">
        <v>177</v>
      </c>
      <c r="C5" s="24" t="s">
        <v>178</v>
      </c>
    </row>
    <row r="6" spans="1:3" ht="40" customHeight="1" x14ac:dyDescent="0.35">
      <c r="A6" s="7">
        <v>4</v>
      </c>
      <c r="B6" s="23" t="s">
        <v>179</v>
      </c>
      <c r="C6" s="24" t="s">
        <v>180</v>
      </c>
    </row>
    <row r="7" spans="1:3" ht="40" customHeight="1" x14ac:dyDescent="0.35">
      <c r="A7" s="7">
        <v>5</v>
      </c>
      <c r="B7" s="23" t="s">
        <v>181</v>
      </c>
      <c r="C7" s="24" t="s">
        <v>182</v>
      </c>
    </row>
    <row r="8" spans="1:3" ht="40" customHeight="1" x14ac:dyDescent="0.35">
      <c r="A8" s="7">
        <v>6</v>
      </c>
      <c r="B8" s="23" t="s">
        <v>183</v>
      </c>
      <c r="C8" s="24" t="s">
        <v>184</v>
      </c>
    </row>
    <row r="9" spans="1:3" ht="40" customHeight="1" x14ac:dyDescent="0.35">
      <c r="A9" s="7">
        <v>7</v>
      </c>
      <c r="B9" s="23" t="s">
        <v>185</v>
      </c>
      <c r="C9" s="24" t="s">
        <v>186</v>
      </c>
    </row>
    <row r="10" spans="1:3" ht="40" customHeight="1" x14ac:dyDescent="0.35">
      <c r="A10" s="7">
        <v>8</v>
      </c>
      <c r="B10" s="23" t="s">
        <v>187</v>
      </c>
      <c r="C10" s="24" t="s">
        <v>188</v>
      </c>
    </row>
    <row r="11" spans="1:3" ht="40" customHeight="1" x14ac:dyDescent="0.35">
      <c r="A11" s="7">
        <v>9</v>
      </c>
      <c r="B11" s="23" t="s">
        <v>189</v>
      </c>
      <c r="C11" s="24" t="s">
        <v>190</v>
      </c>
    </row>
    <row r="12" spans="1:3" ht="40" customHeight="1" x14ac:dyDescent="0.35">
      <c r="A12" s="7">
        <v>10</v>
      </c>
      <c r="B12" s="23" t="s">
        <v>191</v>
      </c>
      <c r="C12" s="23" t="s">
        <v>192</v>
      </c>
    </row>
    <row r="13" spans="1:3" ht="40" customHeight="1" thickBot="1" x14ac:dyDescent="0.4">
      <c r="A13" s="10">
        <v>11</v>
      </c>
      <c r="B13" s="25" t="s">
        <v>193</v>
      </c>
      <c r="C13" s="25" t="s">
        <v>194</v>
      </c>
    </row>
  </sheetData>
  <mergeCells count="1">
    <mergeCell ref="A1:C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AC6F-A63A-4870-AD6E-63FC8479D483}">
  <dimension ref="A1:C92"/>
  <sheetViews>
    <sheetView workbookViewId="0">
      <selection activeCell="A2" sqref="A2"/>
    </sheetView>
  </sheetViews>
  <sheetFormatPr baseColWidth="10" defaultRowHeight="14.5" x14ac:dyDescent="0.35"/>
  <sheetData>
    <row r="1" spans="1:3" ht="15" thickBot="1" x14ac:dyDescent="0.4">
      <c r="A1" s="15" t="s">
        <v>195</v>
      </c>
      <c r="B1" s="16"/>
      <c r="C1" s="17"/>
    </row>
    <row r="2" spans="1:3" ht="15" thickBot="1" x14ac:dyDescent="0.4">
      <c r="A2" s="1" t="s">
        <v>0</v>
      </c>
      <c r="B2" s="2" t="s">
        <v>1</v>
      </c>
      <c r="C2" s="3" t="s">
        <v>2</v>
      </c>
    </row>
    <row r="3" spans="1:3" ht="40" customHeight="1" x14ac:dyDescent="0.35">
      <c r="A3" s="4">
        <v>10</v>
      </c>
      <c r="B3" s="21" t="s">
        <v>196</v>
      </c>
      <c r="C3" s="21" t="s">
        <v>197</v>
      </c>
    </row>
    <row r="4" spans="1:3" ht="40" customHeight="1" x14ac:dyDescent="0.35">
      <c r="A4" s="7">
        <v>11</v>
      </c>
      <c r="B4" s="23" t="s">
        <v>198</v>
      </c>
      <c r="C4" s="24" t="s">
        <v>199</v>
      </c>
    </row>
    <row r="5" spans="1:3" ht="40" customHeight="1" x14ac:dyDescent="0.35">
      <c r="A5" s="7">
        <v>12</v>
      </c>
      <c r="B5" s="23" t="s">
        <v>200</v>
      </c>
      <c r="C5" s="23" t="s">
        <v>201</v>
      </c>
    </row>
    <row r="6" spans="1:3" ht="40" customHeight="1" x14ac:dyDescent="0.35">
      <c r="A6" s="7">
        <v>13</v>
      </c>
      <c r="B6" s="23" t="s">
        <v>202</v>
      </c>
      <c r="C6" s="23" t="s">
        <v>203</v>
      </c>
    </row>
    <row r="7" spans="1:3" ht="40" customHeight="1" x14ac:dyDescent="0.35">
      <c r="A7" s="7">
        <v>14</v>
      </c>
      <c r="B7" s="23" t="s">
        <v>204</v>
      </c>
      <c r="C7" s="23" t="s">
        <v>205</v>
      </c>
    </row>
    <row r="8" spans="1:3" ht="40" customHeight="1" x14ac:dyDescent="0.35">
      <c r="A8" s="7">
        <v>15</v>
      </c>
      <c r="B8" s="23" t="s">
        <v>206</v>
      </c>
      <c r="C8" s="23" t="s">
        <v>207</v>
      </c>
    </row>
    <row r="9" spans="1:3" ht="40" customHeight="1" x14ac:dyDescent="0.35">
      <c r="A9" s="7">
        <v>16</v>
      </c>
      <c r="B9" s="23" t="s">
        <v>208</v>
      </c>
      <c r="C9" s="23" t="s">
        <v>209</v>
      </c>
    </row>
    <row r="10" spans="1:3" ht="40" customHeight="1" x14ac:dyDescent="0.35">
      <c r="A10" s="7">
        <v>17</v>
      </c>
      <c r="B10" s="23" t="s">
        <v>210</v>
      </c>
      <c r="C10" s="23" t="s">
        <v>211</v>
      </c>
    </row>
    <row r="11" spans="1:3" ht="40" customHeight="1" x14ac:dyDescent="0.35">
      <c r="A11" s="7">
        <v>18</v>
      </c>
      <c r="B11" s="23" t="s">
        <v>212</v>
      </c>
      <c r="C11" s="23" t="s">
        <v>213</v>
      </c>
    </row>
    <row r="12" spans="1:3" ht="40" customHeight="1" x14ac:dyDescent="0.35">
      <c r="A12" s="7">
        <v>19</v>
      </c>
      <c r="B12" s="23" t="s">
        <v>214</v>
      </c>
      <c r="C12" s="23" t="s">
        <v>215</v>
      </c>
    </row>
    <row r="13" spans="1:3" ht="40" customHeight="1" x14ac:dyDescent="0.35">
      <c r="A13" s="7">
        <v>20</v>
      </c>
      <c r="B13" s="23" t="s">
        <v>216</v>
      </c>
      <c r="C13" s="23" t="s">
        <v>217</v>
      </c>
    </row>
    <row r="14" spans="1:3" ht="40" customHeight="1" x14ac:dyDescent="0.35">
      <c r="A14" s="7">
        <v>21</v>
      </c>
      <c r="B14" s="23" t="s">
        <v>218</v>
      </c>
      <c r="C14" s="23" t="s">
        <v>219</v>
      </c>
    </row>
    <row r="15" spans="1:3" ht="40" customHeight="1" x14ac:dyDescent="0.35">
      <c r="A15" s="7">
        <v>22</v>
      </c>
      <c r="B15" s="23" t="s">
        <v>220</v>
      </c>
      <c r="C15" s="9" t="s">
        <v>199</v>
      </c>
    </row>
    <row r="16" spans="1:3" ht="40" customHeight="1" x14ac:dyDescent="0.35">
      <c r="A16" s="7">
        <v>23</v>
      </c>
      <c r="B16" s="23" t="s">
        <v>221</v>
      </c>
      <c r="C16" s="23" t="s">
        <v>222</v>
      </c>
    </row>
    <row r="17" spans="1:3" ht="40" customHeight="1" x14ac:dyDescent="0.35">
      <c r="A17" s="7">
        <v>24</v>
      </c>
      <c r="B17" s="23" t="s">
        <v>223</v>
      </c>
      <c r="C17" s="23" t="s">
        <v>224</v>
      </c>
    </row>
    <row r="18" spans="1:3" ht="40" customHeight="1" x14ac:dyDescent="0.35">
      <c r="A18" s="7">
        <v>25</v>
      </c>
      <c r="B18" s="23" t="s">
        <v>225</v>
      </c>
      <c r="C18" s="23" t="s">
        <v>226</v>
      </c>
    </row>
    <row r="19" spans="1:3" ht="40" customHeight="1" x14ac:dyDescent="0.35">
      <c r="A19" s="7">
        <v>26</v>
      </c>
      <c r="B19" s="23" t="s">
        <v>227</v>
      </c>
      <c r="C19" s="23" t="s">
        <v>228</v>
      </c>
    </row>
    <row r="20" spans="1:3" ht="40" customHeight="1" x14ac:dyDescent="0.35">
      <c r="A20" s="7">
        <v>27</v>
      </c>
      <c r="B20" s="23" t="s">
        <v>229</v>
      </c>
      <c r="C20" s="23" t="s">
        <v>230</v>
      </c>
    </row>
    <row r="21" spans="1:3" ht="40" customHeight="1" x14ac:dyDescent="0.35">
      <c r="A21" s="7">
        <v>28</v>
      </c>
      <c r="B21" s="23" t="s">
        <v>231</v>
      </c>
      <c r="C21" s="23" t="s">
        <v>232</v>
      </c>
    </row>
    <row r="22" spans="1:3" ht="40" customHeight="1" x14ac:dyDescent="0.35">
      <c r="A22" s="7">
        <v>29</v>
      </c>
      <c r="B22" s="23" t="s">
        <v>233</v>
      </c>
      <c r="C22" s="23" t="s">
        <v>234</v>
      </c>
    </row>
    <row r="23" spans="1:3" ht="40" customHeight="1" x14ac:dyDescent="0.35">
      <c r="A23" s="7">
        <v>30</v>
      </c>
      <c r="B23" s="23" t="s">
        <v>235</v>
      </c>
      <c r="C23" s="23" t="s">
        <v>236</v>
      </c>
    </row>
    <row r="24" spans="1:3" ht="40" customHeight="1" x14ac:dyDescent="0.35">
      <c r="A24" s="7">
        <v>31</v>
      </c>
      <c r="B24" s="23" t="s">
        <v>237</v>
      </c>
      <c r="C24" s="23" t="s">
        <v>203</v>
      </c>
    </row>
    <row r="25" spans="1:3" ht="40" customHeight="1" x14ac:dyDescent="0.35">
      <c r="A25" s="7">
        <v>32</v>
      </c>
      <c r="B25" s="23" t="s">
        <v>238</v>
      </c>
      <c r="C25" s="23" t="s">
        <v>222</v>
      </c>
    </row>
    <row r="26" spans="1:3" ht="40" customHeight="1" x14ac:dyDescent="0.35">
      <c r="A26" s="7">
        <v>33</v>
      </c>
      <c r="B26" s="23" t="s">
        <v>239</v>
      </c>
      <c r="C26" s="23" t="s">
        <v>240</v>
      </c>
    </row>
    <row r="27" spans="1:3" ht="40" customHeight="1" x14ac:dyDescent="0.35">
      <c r="A27" s="7">
        <v>34</v>
      </c>
      <c r="B27" s="23" t="s">
        <v>241</v>
      </c>
      <c r="C27" s="23" t="s">
        <v>242</v>
      </c>
    </row>
    <row r="28" spans="1:3" ht="40" customHeight="1" x14ac:dyDescent="0.35">
      <c r="A28" s="7">
        <v>35</v>
      </c>
      <c r="B28" s="23" t="s">
        <v>243</v>
      </c>
      <c r="C28" s="23" t="s">
        <v>244</v>
      </c>
    </row>
    <row r="29" spans="1:3" ht="40" customHeight="1" x14ac:dyDescent="0.35">
      <c r="A29" s="7">
        <v>36</v>
      </c>
      <c r="B29" s="23" t="s">
        <v>245</v>
      </c>
      <c r="C29" s="23" t="s">
        <v>246</v>
      </c>
    </row>
    <row r="30" spans="1:3" ht="40" customHeight="1" x14ac:dyDescent="0.35">
      <c r="A30" s="7">
        <v>37</v>
      </c>
      <c r="B30" s="23" t="s">
        <v>247</v>
      </c>
      <c r="C30" s="23" t="s">
        <v>248</v>
      </c>
    </row>
    <row r="31" spans="1:3" ht="40" customHeight="1" x14ac:dyDescent="0.35">
      <c r="A31" s="7">
        <v>38</v>
      </c>
      <c r="B31" s="23" t="s">
        <v>249</v>
      </c>
      <c r="C31" s="23" t="s">
        <v>250</v>
      </c>
    </row>
    <row r="32" spans="1:3" ht="40" customHeight="1" x14ac:dyDescent="0.35">
      <c r="A32" s="7">
        <v>39</v>
      </c>
      <c r="B32" s="23" t="s">
        <v>251</v>
      </c>
      <c r="C32" s="26" t="s">
        <v>252</v>
      </c>
    </row>
    <row r="33" spans="1:3" ht="40" customHeight="1" x14ac:dyDescent="0.35">
      <c r="A33" s="7">
        <v>40</v>
      </c>
      <c r="B33" s="23" t="s">
        <v>253</v>
      </c>
      <c r="C33" s="23" t="s">
        <v>254</v>
      </c>
    </row>
    <row r="34" spans="1:3" ht="40" customHeight="1" x14ac:dyDescent="0.35">
      <c r="A34" s="7">
        <v>41</v>
      </c>
      <c r="B34" s="23" t="s">
        <v>255</v>
      </c>
      <c r="C34" s="23" t="s">
        <v>205</v>
      </c>
    </row>
    <row r="35" spans="1:3" ht="40" customHeight="1" x14ac:dyDescent="0.35">
      <c r="A35" s="7">
        <v>42</v>
      </c>
      <c r="B35" s="23" t="s">
        <v>256</v>
      </c>
      <c r="C35" s="23" t="s">
        <v>224</v>
      </c>
    </row>
    <row r="36" spans="1:3" ht="40" customHeight="1" x14ac:dyDescent="0.35">
      <c r="A36" s="7">
        <v>43</v>
      </c>
      <c r="B36" s="23" t="s">
        <v>257</v>
      </c>
      <c r="C36" s="23" t="s">
        <v>242</v>
      </c>
    </row>
    <row r="37" spans="1:3" ht="40" customHeight="1" x14ac:dyDescent="0.35">
      <c r="A37" s="7">
        <v>44</v>
      </c>
      <c r="B37" s="23" t="s">
        <v>258</v>
      </c>
      <c r="C37" s="23" t="s">
        <v>259</v>
      </c>
    </row>
    <row r="38" spans="1:3" ht="40" customHeight="1" x14ac:dyDescent="0.35">
      <c r="A38" s="7">
        <v>45</v>
      </c>
      <c r="B38" s="23" t="s">
        <v>260</v>
      </c>
      <c r="C38" s="23" t="s">
        <v>261</v>
      </c>
    </row>
    <row r="39" spans="1:3" ht="40" customHeight="1" x14ac:dyDescent="0.35">
      <c r="A39" s="7">
        <v>46</v>
      </c>
      <c r="B39" s="23" t="s">
        <v>262</v>
      </c>
      <c r="C39" s="23" t="s">
        <v>263</v>
      </c>
    </row>
    <row r="40" spans="1:3" ht="40" customHeight="1" x14ac:dyDescent="0.35">
      <c r="A40" s="7">
        <v>47</v>
      </c>
      <c r="B40" s="23" t="s">
        <v>264</v>
      </c>
      <c r="C40" s="23" t="s">
        <v>265</v>
      </c>
    </row>
    <row r="41" spans="1:3" ht="40" customHeight="1" x14ac:dyDescent="0.35">
      <c r="A41" s="7">
        <v>48</v>
      </c>
      <c r="B41" s="23" t="s">
        <v>266</v>
      </c>
      <c r="C41" s="23" t="s">
        <v>267</v>
      </c>
    </row>
    <row r="42" spans="1:3" ht="40" customHeight="1" x14ac:dyDescent="0.35">
      <c r="A42" s="7">
        <v>49</v>
      </c>
      <c r="B42" s="23" t="s">
        <v>268</v>
      </c>
      <c r="C42" s="23" t="s">
        <v>269</v>
      </c>
    </row>
    <row r="43" spans="1:3" ht="40" customHeight="1" x14ac:dyDescent="0.35">
      <c r="A43" s="7">
        <v>50</v>
      </c>
      <c r="B43" s="23" t="s">
        <v>270</v>
      </c>
      <c r="C43" s="23" t="s">
        <v>271</v>
      </c>
    </row>
    <row r="44" spans="1:3" ht="40" customHeight="1" x14ac:dyDescent="0.35">
      <c r="A44" s="7">
        <v>51</v>
      </c>
      <c r="B44" s="23" t="s">
        <v>272</v>
      </c>
      <c r="C44" s="23" t="s">
        <v>207</v>
      </c>
    </row>
    <row r="45" spans="1:3" ht="40" customHeight="1" x14ac:dyDescent="0.35">
      <c r="A45" s="7">
        <v>52</v>
      </c>
      <c r="B45" s="23" t="s">
        <v>273</v>
      </c>
      <c r="C45" s="23" t="s">
        <v>226</v>
      </c>
    </row>
    <row r="46" spans="1:3" ht="40" customHeight="1" x14ac:dyDescent="0.35">
      <c r="A46" s="7">
        <v>53</v>
      </c>
      <c r="B46" s="23" t="s">
        <v>274</v>
      </c>
      <c r="C46" s="23" t="s">
        <v>244</v>
      </c>
    </row>
    <row r="47" spans="1:3" ht="40" customHeight="1" x14ac:dyDescent="0.35">
      <c r="A47" s="7">
        <v>54</v>
      </c>
      <c r="B47" s="23" t="s">
        <v>275</v>
      </c>
      <c r="C47" s="23" t="s">
        <v>261</v>
      </c>
    </row>
    <row r="48" spans="1:3" ht="40" customHeight="1" x14ac:dyDescent="0.35">
      <c r="A48" s="7">
        <v>55</v>
      </c>
      <c r="B48" s="23" t="s">
        <v>276</v>
      </c>
      <c r="C48" s="23" t="s">
        <v>277</v>
      </c>
    </row>
    <row r="49" spans="1:3" ht="40" customHeight="1" x14ac:dyDescent="0.35">
      <c r="A49" s="7">
        <v>56</v>
      </c>
      <c r="B49" s="23" t="s">
        <v>278</v>
      </c>
      <c r="C49" s="26" t="s">
        <v>252</v>
      </c>
    </row>
    <row r="50" spans="1:3" ht="40" customHeight="1" x14ac:dyDescent="0.35">
      <c r="A50" s="7">
        <v>57</v>
      </c>
      <c r="B50" s="23" t="s">
        <v>279</v>
      </c>
      <c r="C50" s="23" t="s">
        <v>280</v>
      </c>
    </row>
    <row r="51" spans="1:3" ht="40" customHeight="1" x14ac:dyDescent="0.35">
      <c r="A51" s="7">
        <v>58</v>
      </c>
      <c r="B51" s="23" t="s">
        <v>281</v>
      </c>
      <c r="C51" s="23" t="s">
        <v>282</v>
      </c>
    </row>
    <row r="52" spans="1:3" ht="40" customHeight="1" x14ac:dyDescent="0.35">
      <c r="A52" s="7">
        <v>59</v>
      </c>
      <c r="B52" s="23" t="s">
        <v>283</v>
      </c>
      <c r="C52" s="23" t="s">
        <v>284</v>
      </c>
    </row>
    <row r="53" spans="1:3" ht="40" customHeight="1" x14ac:dyDescent="0.35">
      <c r="A53" s="7">
        <v>60</v>
      </c>
      <c r="B53" s="23" t="s">
        <v>285</v>
      </c>
      <c r="C53" s="26" t="s">
        <v>252</v>
      </c>
    </row>
    <row r="54" spans="1:3" ht="40" customHeight="1" x14ac:dyDescent="0.35">
      <c r="A54" s="7">
        <v>61</v>
      </c>
      <c r="B54" s="23" t="s">
        <v>286</v>
      </c>
      <c r="C54" s="23" t="s">
        <v>287</v>
      </c>
    </row>
    <row r="55" spans="1:3" ht="40" customHeight="1" x14ac:dyDescent="0.35">
      <c r="A55" s="7">
        <v>62</v>
      </c>
      <c r="B55" s="23" t="s">
        <v>288</v>
      </c>
      <c r="C55" s="23" t="s">
        <v>228</v>
      </c>
    </row>
    <row r="56" spans="1:3" ht="40" customHeight="1" x14ac:dyDescent="0.35">
      <c r="A56" s="7">
        <v>63</v>
      </c>
      <c r="B56" s="23" t="s">
        <v>289</v>
      </c>
      <c r="C56" s="23" t="s">
        <v>290</v>
      </c>
    </row>
    <row r="57" spans="1:3" ht="40" customHeight="1" x14ac:dyDescent="0.35">
      <c r="A57" s="7">
        <v>64</v>
      </c>
      <c r="B57" s="23" t="s">
        <v>291</v>
      </c>
      <c r="C57" s="23" t="s">
        <v>263</v>
      </c>
    </row>
    <row r="58" spans="1:3" ht="40" customHeight="1" x14ac:dyDescent="0.35">
      <c r="A58" s="7">
        <v>65</v>
      </c>
      <c r="B58" s="23" t="s">
        <v>292</v>
      </c>
      <c r="C58" s="26" t="s">
        <v>252</v>
      </c>
    </row>
    <row r="59" spans="1:3" ht="40" customHeight="1" x14ac:dyDescent="0.35">
      <c r="A59" s="7">
        <v>66</v>
      </c>
      <c r="B59" s="23" t="s">
        <v>293</v>
      </c>
      <c r="C59" s="23" t="s">
        <v>294</v>
      </c>
    </row>
    <row r="60" spans="1:3" ht="40" customHeight="1" x14ac:dyDescent="0.35">
      <c r="A60" s="7">
        <v>67</v>
      </c>
      <c r="B60" s="23" t="s">
        <v>295</v>
      </c>
      <c r="C60" s="23" t="s">
        <v>296</v>
      </c>
    </row>
    <row r="61" spans="1:3" ht="40" customHeight="1" x14ac:dyDescent="0.35">
      <c r="A61" s="7">
        <v>68</v>
      </c>
      <c r="B61" s="23" t="s">
        <v>297</v>
      </c>
      <c r="C61" s="23" t="s">
        <v>298</v>
      </c>
    </row>
    <row r="62" spans="1:3" ht="40" customHeight="1" x14ac:dyDescent="0.35">
      <c r="A62" s="7">
        <v>69</v>
      </c>
      <c r="B62" s="23" t="s">
        <v>299</v>
      </c>
      <c r="C62" s="23" t="s">
        <v>300</v>
      </c>
    </row>
    <row r="63" spans="1:3" ht="40" customHeight="1" x14ac:dyDescent="0.35">
      <c r="A63" s="7">
        <v>70</v>
      </c>
      <c r="B63" s="23" t="s">
        <v>301</v>
      </c>
      <c r="C63" s="23" t="s">
        <v>302</v>
      </c>
    </row>
    <row r="64" spans="1:3" ht="40" customHeight="1" x14ac:dyDescent="0.35">
      <c r="A64" s="7">
        <v>71</v>
      </c>
      <c r="B64" s="23" t="s">
        <v>303</v>
      </c>
      <c r="C64" s="23" t="s">
        <v>211</v>
      </c>
    </row>
    <row r="65" spans="1:3" ht="40" customHeight="1" x14ac:dyDescent="0.35">
      <c r="A65" s="7">
        <v>72</v>
      </c>
      <c r="B65" s="23" t="s">
        <v>304</v>
      </c>
      <c r="C65" s="23" t="s">
        <v>305</v>
      </c>
    </row>
    <row r="66" spans="1:3" ht="40" customHeight="1" x14ac:dyDescent="0.35">
      <c r="A66" s="7">
        <v>73</v>
      </c>
      <c r="B66" s="23" t="s">
        <v>306</v>
      </c>
      <c r="C66" s="23" t="s">
        <v>248</v>
      </c>
    </row>
    <row r="67" spans="1:3" ht="40" customHeight="1" x14ac:dyDescent="0.35">
      <c r="A67" s="7">
        <v>74</v>
      </c>
      <c r="B67" s="23" t="s">
        <v>307</v>
      </c>
      <c r="C67" s="23" t="s">
        <v>265</v>
      </c>
    </row>
    <row r="68" spans="1:3" ht="40" customHeight="1" x14ac:dyDescent="0.35">
      <c r="A68" s="7">
        <v>75</v>
      </c>
      <c r="B68" s="23" t="s">
        <v>308</v>
      </c>
      <c r="C68" s="23" t="s">
        <v>280</v>
      </c>
    </row>
    <row r="69" spans="1:3" ht="40" customHeight="1" x14ac:dyDescent="0.35">
      <c r="A69" s="7">
        <v>76</v>
      </c>
      <c r="B69" s="23" t="s">
        <v>309</v>
      </c>
      <c r="C69" s="23" t="s">
        <v>296</v>
      </c>
    </row>
    <row r="70" spans="1:3" ht="40" customHeight="1" x14ac:dyDescent="0.35">
      <c r="A70" s="7">
        <v>77</v>
      </c>
      <c r="B70" s="23" t="s">
        <v>310</v>
      </c>
      <c r="C70" s="23" t="s">
        <v>311</v>
      </c>
    </row>
    <row r="71" spans="1:3" ht="40" customHeight="1" x14ac:dyDescent="0.35">
      <c r="A71" s="7">
        <v>78</v>
      </c>
      <c r="B71" s="23" t="s">
        <v>312</v>
      </c>
      <c r="C71" s="23" t="s">
        <v>313</v>
      </c>
    </row>
    <row r="72" spans="1:3" ht="40" customHeight="1" x14ac:dyDescent="0.35">
      <c r="A72" s="7">
        <v>79</v>
      </c>
      <c r="B72" s="23" t="s">
        <v>314</v>
      </c>
      <c r="C72" s="23" t="s">
        <v>315</v>
      </c>
    </row>
    <row r="73" spans="1:3" ht="40" customHeight="1" x14ac:dyDescent="0.35">
      <c r="A73" s="7">
        <v>80</v>
      </c>
      <c r="B73" s="23" t="s">
        <v>316</v>
      </c>
      <c r="C73" s="23" t="s">
        <v>317</v>
      </c>
    </row>
    <row r="74" spans="1:3" ht="40" customHeight="1" x14ac:dyDescent="0.35">
      <c r="A74" s="7">
        <v>81</v>
      </c>
      <c r="B74" s="23" t="s">
        <v>318</v>
      </c>
      <c r="C74" s="23" t="s">
        <v>319</v>
      </c>
    </row>
    <row r="75" spans="1:3" ht="40" customHeight="1" x14ac:dyDescent="0.35">
      <c r="A75" s="7">
        <v>82</v>
      </c>
      <c r="B75" s="23" t="s">
        <v>320</v>
      </c>
      <c r="C75" s="23" t="s">
        <v>232</v>
      </c>
    </row>
    <row r="76" spans="1:3" ht="40" customHeight="1" x14ac:dyDescent="0.35">
      <c r="A76" s="7">
        <v>83</v>
      </c>
      <c r="B76" s="23" t="s">
        <v>321</v>
      </c>
      <c r="C76" s="23" t="s">
        <v>250</v>
      </c>
    </row>
    <row r="77" spans="1:3" ht="40" customHeight="1" x14ac:dyDescent="0.35">
      <c r="A77" s="7">
        <v>84</v>
      </c>
      <c r="B77" s="23" t="s">
        <v>322</v>
      </c>
      <c r="C77" s="23" t="s">
        <v>267</v>
      </c>
    </row>
    <row r="78" spans="1:3" ht="40" customHeight="1" x14ac:dyDescent="0.35">
      <c r="A78" s="7">
        <v>85</v>
      </c>
      <c r="B78" s="23" t="s">
        <v>323</v>
      </c>
      <c r="C78" s="23" t="s">
        <v>282</v>
      </c>
    </row>
    <row r="79" spans="1:3" ht="40" customHeight="1" x14ac:dyDescent="0.35">
      <c r="A79" s="7">
        <v>86</v>
      </c>
      <c r="B79" s="23" t="s">
        <v>324</v>
      </c>
      <c r="C79" s="23" t="s">
        <v>298</v>
      </c>
    </row>
    <row r="80" spans="1:3" ht="40" customHeight="1" x14ac:dyDescent="0.35">
      <c r="A80" s="7">
        <v>87</v>
      </c>
      <c r="B80" s="23" t="s">
        <v>325</v>
      </c>
      <c r="C80" s="23" t="s">
        <v>313</v>
      </c>
    </row>
    <row r="81" spans="1:3" ht="40" customHeight="1" x14ac:dyDescent="0.35">
      <c r="A81" s="7">
        <v>88</v>
      </c>
      <c r="B81" s="23" t="s">
        <v>326</v>
      </c>
      <c r="C81" s="23" t="s">
        <v>327</v>
      </c>
    </row>
    <row r="82" spans="1:3" ht="40" customHeight="1" x14ac:dyDescent="0.35">
      <c r="A82" s="7">
        <v>89</v>
      </c>
      <c r="B82" s="23" t="s">
        <v>328</v>
      </c>
      <c r="C82" s="23" t="s">
        <v>329</v>
      </c>
    </row>
    <row r="83" spans="1:3" ht="40" customHeight="1" x14ac:dyDescent="0.35">
      <c r="A83" s="7">
        <v>90</v>
      </c>
      <c r="B83" s="23" t="s">
        <v>330</v>
      </c>
      <c r="C83" s="23" t="s">
        <v>331</v>
      </c>
    </row>
    <row r="84" spans="1:3" ht="40" customHeight="1" x14ac:dyDescent="0.35">
      <c r="A84" s="7">
        <v>91</v>
      </c>
      <c r="B84" s="23" t="s">
        <v>332</v>
      </c>
      <c r="C84" s="23" t="s">
        <v>215</v>
      </c>
    </row>
    <row r="85" spans="1:3" ht="40" customHeight="1" x14ac:dyDescent="0.35">
      <c r="A85" s="7">
        <v>92</v>
      </c>
      <c r="B85" s="23" t="s">
        <v>333</v>
      </c>
      <c r="C85" s="23" t="s">
        <v>334</v>
      </c>
    </row>
    <row r="86" spans="1:3" ht="40" customHeight="1" x14ac:dyDescent="0.35">
      <c r="A86" s="7">
        <v>93</v>
      </c>
      <c r="B86" s="23" t="s">
        <v>335</v>
      </c>
      <c r="C86" s="26" t="s">
        <v>252</v>
      </c>
    </row>
    <row r="87" spans="1:3" ht="40" customHeight="1" x14ac:dyDescent="0.35">
      <c r="A87" s="7">
        <v>94</v>
      </c>
      <c r="B87" s="23" t="s">
        <v>336</v>
      </c>
      <c r="C87" s="23" t="s">
        <v>269</v>
      </c>
    </row>
    <row r="88" spans="1:3" ht="40" customHeight="1" x14ac:dyDescent="0.35">
      <c r="A88" s="7">
        <v>95</v>
      </c>
      <c r="B88" s="23" t="s">
        <v>337</v>
      </c>
      <c r="C88" s="23" t="s">
        <v>284</v>
      </c>
    </row>
    <row r="89" spans="1:3" ht="40" customHeight="1" x14ac:dyDescent="0.35">
      <c r="A89" s="7">
        <v>96</v>
      </c>
      <c r="B89" s="23" t="s">
        <v>338</v>
      </c>
      <c r="C89" s="23" t="s">
        <v>300</v>
      </c>
    </row>
    <row r="90" spans="1:3" ht="40" customHeight="1" x14ac:dyDescent="0.35">
      <c r="A90" s="7">
        <v>97</v>
      </c>
      <c r="B90" s="23" t="s">
        <v>339</v>
      </c>
      <c r="C90" s="23" t="s">
        <v>315</v>
      </c>
    </row>
    <row r="91" spans="1:3" ht="40" customHeight="1" x14ac:dyDescent="0.35">
      <c r="A91" s="7">
        <v>98</v>
      </c>
      <c r="B91" s="23" t="s">
        <v>340</v>
      </c>
      <c r="C91" s="23" t="s">
        <v>329</v>
      </c>
    </row>
    <row r="92" spans="1:3" ht="40" customHeight="1" thickBot="1" x14ac:dyDescent="0.4">
      <c r="A92" s="10">
        <v>99</v>
      </c>
      <c r="B92" s="25" t="s">
        <v>341</v>
      </c>
      <c r="C92" s="25" t="s">
        <v>342</v>
      </c>
    </row>
  </sheetData>
  <mergeCells count="1">
    <mergeCell ref="A1:C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455E-D760-4CC4-B3D9-54A3645490B9}">
  <dimension ref="A1:C15"/>
  <sheetViews>
    <sheetView workbookViewId="0">
      <selection activeCell="D3" sqref="D3"/>
    </sheetView>
  </sheetViews>
  <sheetFormatPr baseColWidth="10" defaultRowHeight="14.5" x14ac:dyDescent="0.35"/>
  <sheetData>
    <row r="1" spans="1:3" ht="15" thickBot="1" x14ac:dyDescent="0.4">
      <c r="A1" s="15" t="s">
        <v>343</v>
      </c>
      <c r="B1" s="16"/>
      <c r="C1" s="17"/>
    </row>
    <row r="2" spans="1:3" ht="15" thickBot="1" x14ac:dyDescent="0.4">
      <c r="A2" s="1" t="s">
        <v>0</v>
      </c>
      <c r="B2" s="2" t="s">
        <v>1</v>
      </c>
      <c r="C2" s="3" t="s">
        <v>2</v>
      </c>
    </row>
    <row r="3" spans="1:3" ht="40" customHeight="1" x14ac:dyDescent="0.35">
      <c r="A3" s="4">
        <v>1</v>
      </c>
      <c r="B3" s="21" t="s">
        <v>344</v>
      </c>
      <c r="C3" s="22" t="s">
        <v>345</v>
      </c>
    </row>
    <row r="4" spans="1:3" ht="40" customHeight="1" x14ac:dyDescent="0.35">
      <c r="A4" s="7">
        <v>2</v>
      </c>
      <c r="B4" s="23" t="s">
        <v>346</v>
      </c>
      <c r="C4" s="24" t="s">
        <v>347</v>
      </c>
    </row>
    <row r="5" spans="1:3" ht="40" customHeight="1" x14ac:dyDescent="0.35">
      <c r="A5" s="7">
        <v>3</v>
      </c>
      <c r="B5" s="23" t="s">
        <v>348</v>
      </c>
      <c r="C5" s="24" t="s">
        <v>349</v>
      </c>
    </row>
    <row r="6" spans="1:3" ht="40" customHeight="1" x14ac:dyDescent="0.35">
      <c r="A6" s="7">
        <v>4</v>
      </c>
      <c r="B6" s="23" t="s">
        <v>350</v>
      </c>
      <c r="C6" s="24" t="s">
        <v>351</v>
      </c>
    </row>
    <row r="7" spans="1:3" ht="40" customHeight="1" x14ac:dyDescent="0.35">
      <c r="A7" s="7">
        <v>5</v>
      </c>
      <c r="B7" s="23" t="s">
        <v>352</v>
      </c>
      <c r="C7" s="24" t="s">
        <v>353</v>
      </c>
    </row>
    <row r="8" spans="1:3" ht="40" customHeight="1" x14ac:dyDescent="0.35">
      <c r="A8" s="7">
        <v>6</v>
      </c>
      <c r="B8" s="23" t="s">
        <v>354</v>
      </c>
      <c r="C8" s="24" t="s">
        <v>355</v>
      </c>
    </row>
    <row r="9" spans="1:3" ht="40" customHeight="1" x14ac:dyDescent="0.35">
      <c r="A9" s="7">
        <v>7</v>
      </c>
      <c r="B9" s="23" t="s">
        <v>356</v>
      </c>
      <c r="C9" s="24" t="s">
        <v>357</v>
      </c>
    </row>
    <row r="10" spans="1:3" ht="40" customHeight="1" x14ac:dyDescent="0.35">
      <c r="A10" s="7">
        <v>8</v>
      </c>
      <c r="B10" s="23" t="s">
        <v>358</v>
      </c>
      <c r="C10" s="24" t="s">
        <v>359</v>
      </c>
    </row>
    <row r="11" spans="1:3" ht="40" customHeight="1" x14ac:dyDescent="0.35">
      <c r="A11" s="7">
        <v>9</v>
      </c>
      <c r="B11" s="23" t="s">
        <v>360</v>
      </c>
      <c r="C11" s="24" t="s">
        <v>361</v>
      </c>
    </row>
    <row r="12" spans="1:3" ht="40" customHeight="1" x14ac:dyDescent="0.35">
      <c r="A12" s="7">
        <v>11</v>
      </c>
      <c r="B12" s="23" t="s">
        <v>362</v>
      </c>
      <c r="C12" s="24" t="s">
        <v>363</v>
      </c>
    </row>
    <row r="13" spans="1:3" ht="40" customHeight="1" x14ac:dyDescent="0.35">
      <c r="A13" s="7">
        <v>22</v>
      </c>
      <c r="B13" s="23" t="s">
        <v>364</v>
      </c>
      <c r="C13" s="24" t="s">
        <v>365</v>
      </c>
    </row>
    <row r="14" spans="1:3" ht="40" customHeight="1" x14ac:dyDescent="0.35">
      <c r="A14" s="7">
        <v>33</v>
      </c>
      <c r="B14" s="23" t="s">
        <v>366</v>
      </c>
      <c r="C14" s="24" t="s">
        <v>367</v>
      </c>
    </row>
    <row r="15" spans="1:3" ht="40" customHeight="1" thickBot="1" x14ac:dyDescent="0.4">
      <c r="A15" s="10">
        <v>44</v>
      </c>
      <c r="B15" s="25" t="s">
        <v>368</v>
      </c>
      <c r="C15" s="27" t="s">
        <v>369</v>
      </c>
    </row>
  </sheetData>
  <mergeCells count="1">
    <mergeCell ref="A1:C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B6213-0392-4C03-BF16-965EBC8424BB}">
  <dimension ref="A1:C15"/>
  <sheetViews>
    <sheetView workbookViewId="0">
      <selection activeCell="I8" sqref="I8"/>
    </sheetView>
  </sheetViews>
  <sheetFormatPr baseColWidth="10" defaultRowHeight="14.5" x14ac:dyDescent="0.35"/>
  <sheetData>
    <row r="1" spans="1:3" ht="15" thickBot="1" x14ac:dyDescent="0.4">
      <c r="A1" s="15" t="s">
        <v>370</v>
      </c>
      <c r="B1" s="16"/>
      <c r="C1" s="17"/>
    </row>
    <row r="2" spans="1:3" ht="15" thickBot="1" x14ac:dyDescent="0.4">
      <c r="A2" s="1" t="s">
        <v>0</v>
      </c>
      <c r="B2" s="2" t="s">
        <v>1</v>
      </c>
      <c r="C2" s="3" t="s">
        <v>2</v>
      </c>
    </row>
    <row r="3" spans="1:3" ht="40" customHeight="1" x14ac:dyDescent="0.35">
      <c r="A3" s="4">
        <v>1</v>
      </c>
      <c r="B3" s="21" t="s">
        <v>371</v>
      </c>
      <c r="C3" s="22" t="s">
        <v>372</v>
      </c>
    </row>
    <row r="4" spans="1:3" ht="40" customHeight="1" x14ac:dyDescent="0.35">
      <c r="A4" s="7">
        <v>2</v>
      </c>
      <c r="B4" s="23" t="s">
        <v>373</v>
      </c>
      <c r="C4" s="24" t="s">
        <v>374</v>
      </c>
    </row>
    <row r="5" spans="1:3" ht="40" customHeight="1" x14ac:dyDescent="0.35">
      <c r="A5" s="7">
        <v>3</v>
      </c>
      <c r="B5" s="23" t="s">
        <v>375</v>
      </c>
      <c r="C5" s="24" t="s">
        <v>376</v>
      </c>
    </row>
    <row r="6" spans="1:3" ht="40" customHeight="1" x14ac:dyDescent="0.35">
      <c r="A6" s="7">
        <v>4</v>
      </c>
      <c r="B6" s="23" t="s">
        <v>377</v>
      </c>
      <c r="C6" s="24" t="s">
        <v>378</v>
      </c>
    </row>
    <row r="7" spans="1:3" ht="40" customHeight="1" x14ac:dyDescent="0.35">
      <c r="A7" s="7">
        <v>5</v>
      </c>
      <c r="B7" s="23" t="s">
        <v>379</v>
      </c>
      <c r="C7" s="24" t="s">
        <v>380</v>
      </c>
    </row>
    <row r="8" spans="1:3" ht="40" customHeight="1" x14ac:dyDescent="0.35">
      <c r="A8" s="7">
        <v>6</v>
      </c>
      <c r="B8" s="23" t="s">
        <v>381</v>
      </c>
      <c r="C8" s="24" t="s">
        <v>382</v>
      </c>
    </row>
    <row r="9" spans="1:3" ht="40" customHeight="1" x14ac:dyDescent="0.35">
      <c r="A9" s="7">
        <v>7</v>
      </c>
      <c r="B9" s="23" t="s">
        <v>383</v>
      </c>
      <c r="C9" s="24" t="s">
        <v>384</v>
      </c>
    </row>
    <row r="10" spans="1:3" ht="40" customHeight="1" x14ac:dyDescent="0.35">
      <c r="A10" s="7">
        <v>8</v>
      </c>
      <c r="B10" s="23" t="s">
        <v>385</v>
      </c>
      <c r="C10" s="24" t="s">
        <v>386</v>
      </c>
    </row>
    <row r="11" spans="1:3" ht="40" customHeight="1" x14ac:dyDescent="0.35">
      <c r="A11" s="7">
        <v>9</v>
      </c>
      <c r="B11" s="23" t="s">
        <v>387</v>
      </c>
      <c r="C11" s="24" t="s">
        <v>388</v>
      </c>
    </row>
    <row r="12" spans="1:3" ht="40" customHeight="1" x14ac:dyDescent="0.35">
      <c r="A12" s="7">
        <v>11</v>
      </c>
      <c r="B12" s="23" t="s">
        <v>389</v>
      </c>
      <c r="C12" s="24" t="s">
        <v>390</v>
      </c>
    </row>
    <row r="13" spans="1:3" ht="40" customHeight="1" x14ac:dyDescent="0.35">
      <c r="A13" s="7">
        <v>22</v>
      </c>
      <c r="B13" s="23" t="s">
        <v>391</v>
      </c>
      <c r="C13" s="24" t="s">
        <v>392</v>
      </c>
    </row>
    <row r="14" spans="1:3" ht="40" customHeight="1" x14ac:dyDescent="0.35">
      <c r="A14" s="7">
        <v>33</v>
      </c>
      <c r="B14" s="23" t="s">
        <v>393</v>
      </c>
      <c r="C14" s="24" t="s">
        <v>394</v>
      </c>
    </row>
    <row r="15" spans="1:3" ht="40" customHeight="1" thickBot="1" x14ac:dyDescent="0.4">
      <c r="A15" s="10">
        <v>44</v>
      </c>
      <c r="B15" s="25" t="s">
        <v>395</v>
      </c>
      <c r="C15" s="25" t="s">
        <v>396</v>
      </c>
    </row>
  </sheetData>
  <mergeCells count="1">
    <mergeCell ref="A1:C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C6CF-87A7-4F48-96F7-773106E91F99}">
  <dimension ref="A1:C15"/>
  <sheetViews>
    <sheetView workbookViewId="0">
      <selection activeCell="G3" sqref="G3"/>
    </sheetView>
  </sheetViews>
  <sheetFormatPr baseColWidth="10" defaultRowHeight="14.5" x14ac:dyDescent="0.35"/>
  <sheetData>
    <row r="1" spans="1:3" ht="15" thickBot="1" x14ac:dyDescent="0.4">
      <c r="A1" s="15" t="s">
        <v>397</v>
      </c>
      <c r="B1" s="16"/>
      <c r="C1" s="17"/>
    </row>
    <row r="2" spans="1:3" ht="15" thickBot="1" x14ac:dyDescent="0.4">
      <c r="A2" s="1" t="s">
        <v>0</v>
      </c>
      <c r="B2" s="2" t="s">
        <v>1</v>
      </c>
      <c r="C2" s="3" t="s">
        <v>2</v>
      </c>
    </row>
    <row r="3" spans="1:3" ht="40" customHeight="1" x14ac:dyDescent="0.35">
      <c r="A3" s="4">
        <v>1</v>
      </c>
      <c r="B3" s="21" t="s">
        <v>398</v>
      </c>
      <c r="C3" s="22" t="s">
        <v>399</v>
      </c>
    </row>
    <row r="4" spans="1:3" ht="40" customHeight="1" x14ac:dyDescent="0.35">
      <c r="A4" s="7">
        <v>2</v>
      </c>
      <c r="B4" s="23" t="s">
        <v>400</v>
      </c>
      <c r="C4" s="24" t="s">
        <v>401</v>
      </c>
    </row>
    <row r="5" spans="1:3" ht="40" customHeight="1" x14ac:dyDescent="0.35">
      <c r="A5" s="7">
        <v>3</v>
      </c>
      <c r="B5" s="23" t="s">
        <v>402</v>
      </c>
      <c r="C5" s="24" t="s">
        <v>403</v>
      </c>
    </row>
    <row r="6" spans="1:3" ht="40" customHeight="1" x14ac:dyDescent="0.35">
      <c r="A6" s="7">
        <v>4</v>
      </c>
      <c r="B6" s="23" t="s">
        <v>404</v>
      </c>
      <c r="C6" s="24" t="s">
        <v>405</v>
      </c>
    </row>
    <row r="7" spans="1:3" ht="40" customHeight="1" x14ac:dyDescent="0.35">
      <c r="A7" s="7">
        <v>5</v>
      </c>
      <c r="B7" s="23" t="s">
        <v>406</v>
      </c>
      <c r="C7" s="24" t="s">
        <v>407</v>
      </c>
    </row>
    <row r="8" spans="1:3" ht="40" customHeight="1" x14ac:dyDescent="0.35">
      <c r="A8" s="7">
        <v>6</v>
      </c>
      <c r="B8" s="23" t="s">
        <v>408</v>
      </c>
      <c r="C8" s="24" t="s">
        <v>409</v>
      </c>
    </row>
    <row r="9" spans="1:3" ht="40" customHeight="1" x14ac:dyDescent="0.35">
      <c r="A9" s="7">
        <v>7</v>
      </c>
      <c r="B9" s="23" t="s">
        <v>410</v>
      </c>
      <c r="C9" s="24" t="s">
        <v>411</v>
      </c>
    </row>
    <row r="10" spans="1:3" ht="40" customHeight="1" x14ac:dyDescent="0.35">
      <c r="A10" s="7">
        <v>8</v>
      </c>
      <c r="B10" s="23" t="s">
        <v>412</v>
      </c>
      <c r="C10" s="24" t="s">
        <v>413</v>
      </c>
    </row>
    <row r="11" spans="1:3" ht="40" customHeight="1" x14ac:dyDescent="0.35">
      <c r="A11" s="7">
        <v>9</v>
      </c>
      <c r="B11" s="23" t="s">
        <v>414</v>
      </c>
      <c r="C11" s="24" t="s">
        <v>415</v>
      </c>
    </row>
    <row r="12" spans="1:3" ht="40" customHeight="1" x14ac:dyDescent="0.35">
      <c r="A12" s="7">
        <v>11</v>
      </c>
      <c r="B12" s="23" t="s">
        <v>416</v>
      </c>
      <c r="C12" s="24" t="s">
        <v>417</v>
      </c>
    </row>
    <row r="13" spans="1:3" ht="40" customHeight="1" x14ac:dyDescent="0.35">
      <c r="A13" s="7">
        <v>22</v>
      </c>
      <c r="B13" s="23" t="s">
        <v>418</v>
      </c>
      <c r="C13" s="24" t="s">
        <v>419</v>
      </c>
    </row>
    <row r="14" spans="1:3" ht="40" customHeight="1" x14ac:dyDescent="0.35">
      <c r="A14" s="7">
        <v>33</v>
      </c>
      <c r="B14" s="23" t="s">
        <v>420</v>
      </c>
      <c r="C14" s="24" t="s">
        <v>421</v>
      </c>
    </row>
    <row r="15" spans="1:3" ht="40" customHeight="1" thickBot="1" x14ac:dyDescent="0.4">
      <c r="A15" s="10">
        <v>44</v>
      </c>
      <c r="B15" s="25" t="s">
        <v>422</v>
      </c>
      <c r="C15" s="27" t="s">
        <v>423</v>
      </c>
    </row>
  </sheetData>
  <mergeCells count="1">
    <mergeCell ref="A1:C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5F370-D708-4CE5-B415-135CF19B8900}">
  <dimension ref="A1:C74"/>
  <sheetViews>
    <sheetView workbookViewId="0">
      <selection activeCell="D3" sqref="D3"/>
    </sheetView>
  </sheetViews>
  <sheetFormatPr baseColWidth="10" defaultRowHeight="14.5" x14ac:dyDescent="0.35"/>
  <sheetData>
    <row r="1" spans="1:3" ht="15" thickBot="1" x14ac:dyDescent="0.4">
      <c r="A1" s="15" t="s">
        <v>424</v>
      </c>
      <c r="B1" s="16"/>
      <c r="C1" s="17"/>
    </row>
    <row r="2" spans="1:3" ht="15" thickBot="1" x14ac:dyDescent="0.4">
      <c r="A2" s="1" t="s">
        <v>0</v>
      </c>
      <c r="B2" s="2" t="s">
        <v>1</v>
      </c>
      <c r="C2" s="3" t="s">
        <v>2</v>
      </c>
    </row>
    <row r="3" spans="1:3" ht="40" customHeight="1" x14ac:dyDescent="0.35">
      <c r="A3" s="4" t="s">
        <v>425</v>
      </c>
      <c r="B3" s="21" t="str">
        <f>"El destino que proviene de un "&amp;A3&amp;" otorga (positivo/negativo)"</f>
        <v>El destino que proviene de un 1 y 9 otorga (positivo/negativo)</v>
      </c>
      <c r="C3" s="22" t="s">
        <v>426</v>
      </c>
    </row>
    <row r="4" spans="1:3" ht="40" customHeight="1" x14ac:dyDescent="0.35">
      <c r="A4" s="7" t="s">
        <v>427</v>
      </c>
      <c r="B4" s="23" t="str">
        <f t="shared" ref="B4:B67" si="0">"El destino que proviene de un "&amp;A4&amp;" otorga (positivo/negativo)"</f>
        <v>El destino que proviene de un 9 y 1 otorga (positivo/negativo)</v>
      </c>
      <c r="C4" s="24" t="s">
        <v>426</v>
      </c>
    </row>
    <row r="5" spans="1:3" ht="40" customHeight="1" x14ac:dyDescent="0.35">
      <c r="A5" s="7" t="s">
        <v>428</v>
      </c>
      <c r="B5" s="23" t="str">
        <f t="shared" si="0"/>
        <v>El destino que proviene de un 2 y 8 otorga (positivo/negativo)</v>
      </c>
      <c r="C5" s="24" t="s">
        <v>429</v>
      </c>
    </row>
    <row r="6" spans="1:3" ht="40" customHeight="1" x14ac:dyDescent="0.35">
      <c r="A6" s="7" t="s">
        <v>430</v>
      </c>
      <c r="B6" s="23" t="str">
        <f t="shared" si="0"/>
        <v>El destino que proviene de un 8 y 2 otorga (positivo/negativo)</v>
      </c>
      <c r="C6" s="24" t="s">
        <v>429</v>
      </c>
    </row>
    <row r="7" spans="1:3" ht="40" customHeight="1" x14ac:dyDescent="0.35">
      <c r="A7" s="7" t="s">
        <v>431</v>
      </c>
      <c r="B7" s="23" t="str">
        <f t="shared" si="0"/>
        <v>El destino que proviene de un 3 y 7 otorga (positivo/negativo)</v>
      </c>
      <c r="C7" s="24" t="s">
        <v>432</v>
      </c>
    </row>
    <row r="8" spans="1:3" ht="40" customHeight="1" x14ac:dyDescent="0.35">
      <c r="A8" s="7" t="s">
        <v>433</v>
      </c>
      <c r="B8" s="23" t="str">
        <f t="shared" si="0"/>
        <v>El destino que proviene de un 7 y 3 otorga (positivo/negativo)</v>
      </c>
      <c r="C8" s="24" t="s">
        <v>432</v>
      </c>
    </row>
    <row r="9" spans="1:3" ht="40" customHeight="1" x14ac:dyDescent="0.35">
      <c r="A9" s="7" t="s">
        <v>434</v>
      </c>
      <c r="B9" s="23" t="str">
        <f t="shared" si="0"/>
        <v>El destino que proviene de un 4 y 6 otorga (positivo/negativo)</v>
      </c>
      <c r="C9" s="24" t="s">
        <v>435</v>
      </c>
    </row>
    <row r="10" spans="1:3" ht="40" customHeight="1" x14ac:dyDescent="0.35">
      <c r="A10" s="7" t="s">
        <v>436</v>
      </c>
      <c r="B10" s="23" t="str">
        <f t="shared" si="0"/>
        <v>El destino que proviene de un 6 y 4 otorga (positivo/negativo)</v>
      </c>
      <c r="C10" s="24" t="s">
        <v>435</v>
      </c>
    </row>
    <row r="11" spans="1:3" ht="40" customHeight="1" x14ac:dyDescent="0.35">
      <c r="A11" s="7" t="s">
        <v>437</v>
      </c>
      <c r="B11" s="23" t="str">
        <f t="shared" si="0"/>
        <v>El destino que proviene de un 2 y 9 otorga (positivo/negativo)</v>
      </c>
      <c r="C11" s="24" t="s">
        <v>438</v>
      </c>
    </row>
    <row r="12" spans="1:3" ht="40" customHeight="1" x14ac:dyDescent="0.35">
      <c r="A12" s="7" t="s">
        <v>439</v>
      </c>
      <c r="B12" s="23" t="str">
        <f t="shared" si="0"/>
        <v>El destino que proviene de un 9 y 2 otorga (positivo/negativo)</v>
      </c>
      <c r="C12" s="24" t="s">
        <v>438</v>
      </c>
    </row>
    <row r="13" spans="1:3" ht="40" customHeight="1" x14ac:dyDescent="0.35">
      <c r="A13" s="7" t="s">
        <v>440</v>
      </c>
      <c r="B13" s="23" t="str">
        <f t="shared" si="0"/>
        <v>El destino que proviene de un 3 y 8 otorga (positivo/negativo)</v>
      </c>
      <c r="C13" s="24" t="s">
        <v>441</v>
      </c>
    </row>
    <row r="14" spans="1:3" ht="40" customHeight="1" x14ac:dyDescent="0.35">
      <c r="A14" s="7" t="s">
        <v>442</v>
      </c>
      <c r="B14" s="23" t="str">
        <f t="shared" si="0"/>
        <v>El destino que proviene de un 8 y 3 otorga (positivo/negativo)</v>
      </c>
      <c r="C14" s="24" t="s">
        <v>441</v>
      </c>
    </row>
    <row r="15" spans="1:3" ht="40" customHeight="1" x14ac:dyDescent="0.35">
      <c r="A15" s="7" t="s">
        <v>443</v>
      </c>
      <c r="B15" s="23" t="str">
        <f t="shared" si="0"/>
        <v>El destino que proviene de un 4 y 7 otorga (positivo/negativo)</v>
      </c>
      <c r="C15" s="24" t="s">
        <v>444</v>
      </c>
    </row>
    <row r="16" spans="1:3" ht="40" customHeight="1" x14ac:dyDescent="0.35">
      <c r="A16" s="7" t="s">
        <v>445</v>
      </c>
      <c r="B16" s="23" t="str">
        <f t="shared" si="0"/>
        <v>El destino que proviene de un 7 y 4 otorga (positivo/negativo)</v>
      </c>
      <c r="C16" s="24" t="s">
        <v>444</v>
      </c>
    </row>
    <row r="17" spans="1:3" ht="40" customHeight="1" x14ac:dyDescent="0.35">
      <c r="A17" s="7" t="s">
        <v>446</v>
      </c>
      <c r="B17" s="23" t="str">
        <f t="shared" si="0"/>
        <v>El destino que proviene de un 5 y 6 otorga (positivo/negativo)</v>
      </c>
      <c r="C17" s="24" t="s">
        <v>447</v>
      </c>
    </row>
    <row r="18" spans="1:3" ht="40" customHeight="1" x14ac:dyDescent="0.35">
      <c r="A18" s="7" t="s">
        <v>448</v>
      </c>
      <c r="B18" s="23" t="str">
        <f t="shared" si="0"/>
        <v>El destino que proviene de un 6 y 5 otorga (positivo/negativo)</v>
      </c>
      <c r="C18" s="24" t="s">
        <v>447</v>
      </c>
    </row>
    <row r="19" spans="1:3" ht="40" customHeight="1" x14ac:dyDescent="0.35">
      <c r="A19" s="7" t="s">
        <v>449</v>
      </c>
      <c r="B19" s="23" t="str">
        <f t="shared" si="0"/>
        <v>El destino que proviene de un 1 y 2 otorga (positivo/negativo)</v>
      </c>
      <c r="C19" s="24" t="s">
        <v>450</v>
      </c>
    </row>
    <row r="20" spans="1:3" ht="40" customHeight="1" x14ac:dyDescent="0.35">
      <c r="A20" s="7" t="s">
        <v>451</v>
      </c>
      <c r="B20" s="23" t="str">
        <f t="shared" si="0"/>
        <v>El destino que proviene de un 2 y 1 otorga (positivo/negativo)</v>
      </c>
      <c r="C20" s="24" t="s">
        <v>450</v>
      </c>
    </row>
    <row r="21" spans="1:3" ht="40" customHeight="1" x14ac:dyDescent="0.35">
      <c r="A21" s="7" t="s">
        <v>452</v>
      </c>
      <c r="B21" s="23" t="str">
        <f t="shared" si="0"/>
        <v>El destino que proviene de un 3 y 9 otorga (positivo/negativo)</v>
      </c>
      <c r="C21" s="24" t="s">
        <v>453</v>
      </c>
    </row>
    <row r="22" spans="1:3" ht="40" customHeight="1" x14ac:dyDescent="0.35">
      <c r="A22" s="7" t="s">
        <v>454</v>
      </c>
      <c r="B22" s="23" t="str">
        <f t="shared" si="0"/>
        <v>El destino que proviene de un 9 y 3 otorga (positivo/negativo)</v>
      </c>
      <c r="C22" s="24" t="s">
        <v>453</v>
      </c>
    </row>
    <row r="23" spans="1:3" ht="40" customHeight="1" x14ac:dyDescent="0.35">
      <c r="A23" s="7" t="s">
        <v>455</v>
      </c>
      <c r="B23" s="23" t="str">
        <f t="shared" si="0"/>
        <v>El destino que proviene de un 4 y 8 otorga (positivo/negativo)</v>
      </c>
      <c r="C23" s="24" t="s">
        <v>456</v>
      </c>
    </row>
    <row r="24" spans="1:3" ht="40" customHeight="1" x14ac:dyDescent="0.35">
      <c r="A24" s="7" t="s">
        <v>457</v>
      </c>
      <c r="B24" s="23" t="str">
        <f t="shared" si="0"/>
        <v>El destino que proviene de un 8 y 4 otorga (positivo/negativo)</v>
      </c>
      <c r="C24" s="24" t="s">
        <v>456</v>
      </c>
    </row>
    <row r="25" spans="1:3" ht="40" customHeight="1" x14ac:dyDescent="0.35">
      <c r="A25" s="7" t="s">
        <v>458</v>
      </c>
      <c r="B25" s="23" t="str">
        <f t="shared" si="0"/>
        <v>El destino que proviene de un 5 y 7 otorga (positivo/negativo)</v>
      </c>
      <c r="C25" s="24" t="s">
        <v>459</v>
      </c>
    </row>
    <row r="26" spans="1:3" ht="40" customHeight="1" x14ac:dyDescent="0.35">
      <c r="A26" s="7" t="s">
        <v>460</v>
      </c>
      <c r="B26" s="23" t="str">
        <f t="shared" si="0"/>
        <v>El destino que proviene de un 7 y 5 otorga (positivo/negativo)</v>
      </c>
      <c r="C26" s="24" t="s">
        <v>459</v>
      </c>
    </row>
    <row r="27" spans="1:3" ht="40" customHeight="1" x14ac:dyDescent="0.35">
      <c r="A27" s="7" t="s">
        <v>461</v>
      </c>
      <c r="B27" s="23" t="str">
        <f t="shared" si="0"/>
        <v>El destino que proviene de un 1 y 3 otorga (positivo/negativo)</v>
      </c>
      <c r="C27" s="24" t="s">
        <v>462</v>
      </c>
    </row>
    <row r="28" spans="1:3" ht="40" customHeight="1" x14ac:dyDescent="0.35">
      <c r="A28" s="7" t="s">
        <v>463</v>
      </c>
      <c r="B28" s="23" t="str">
        <f t="shared" si="0"/>
        <v>El destino que proviene de un 3 y 1 otorga (positivo/negativo)</v>
      </c>
      <c r="C28" s="24" t="s">
        <v>462</v>
      </c>
    </row>
    <row r="29" spans="1:3" ht="40" customHeight="1" x14ac:dyDescent="0.35">
      <c r="A29" s="7" t="s">
        <v>464</v>
      </c>
      <c r="B29" s="23" t="str">
        <f t="shared" si="0"/>
        <v>El destino que proviene de un 4 y 9 otorga (positivo/negativo)</v>
      </c>
      <c r="C29" s="24" t="s">
        <v>465</v>
      </c>
    </row>
    <row r="30" spans="1:3" ht="40" customHeight="1" x14ac:dyDescent="0.35">
      <c r="A30" s="7" t="s">
        <v>466</v>
      </c>
      <c r="B30" s="23" t="str">
        <f t="shared" si="0"/>
        <v>El destino que proviene de un 9 y 4 otorga (positivo/negativo)</v>
      </c>
      <c r="C30" s="24" t="s">
        <v>465</v>
      </c>
    </row>
    <row r="31" spans="1:3" ht="40" customHeight="1" x14ac:dyDescent="0.35">
      <c r="A31" s="7" t="s">
        <v>467</v>
      </c>
      <c r="B31" s="23" t="str">
        <f t="shared" si="0"/>
        <v>El destino que proviene de un 5 y 8 otorga (positivo/negativo)</v>
      </c>
      <c r="C31" s="24" t="s">
        <v>468</v>
      </c>
    </row>
    <row r="32" spans="1:3" ht="40" customHeight="1" x14ac:dyDescent="0.35">
      <c r="A32" s="7" t="s">
        <v>469</v>
      </c>
      <c r="B32" s="23" t="str">
        <f t="shared" si="0"/>
        <v>El destino que proviene de un 8 y 5 otorga (positivo/negativo)</v>
      </c>
      <c r="C32" s="24" t="s">
        <v>468</v>
      </c>
    </row>
    <row r="33" spans="1:3" ht="40" customHeight="1" x14ac:dyDescent="0.35">
      <c r="A33" s="7" t="s">
        <v>470</v>
      </c>
      <c r="B33" s="23" t="str">
        <f t="shared" si="0"/>
        <v>El destino que proviene de un 6 y 7 otorga (positivo/negativo)</v>
      </c>
      <c r="C33" s="24" t="s">
        <v>471</v>
      </c>
    </row>
    <row r="34" spans="1:3" ht="40" customHeight="1" x14ac:dyDescent="0.35">
      <c r="A34" s="7" t="s">
        <v>472</v>
      </c>
      <c r="B34" s="23" t="str">
        <f t="shared" si="0"/>
        <v>El destino que proviene de un 7 y 6 otorga (positivo/negativo)</v>
      </c>
      <c r="C34" s="24" t="s">
        <v>471</v>
      </c>
    </row>
    <row r="35" spans="1:3" ht="40" customHeight="1" x14ac:dyDescent="0.35">
      <c r="A35" s="7" t="s">
        <v>473</v>
      </c>
      <c r="B35" s="23" t="str">
        <f t="shared" si="0"/>
        <v>El destino que proviene de un 1 y 4 otorga (positivo/negativo)</v>
      </c>
      <c r="C35" s="24" t="s">
        <v>474</v>
      </c>
    </row>
    <row r="36" spans="1:3" ht="40" customHeight="1" x14ac:dyDescent="0.35">
      <c r="A36" s="7" t="s">
        <v>475</v>
      </c>
      <c r="B36" s="23" t="str">
        <f t="shared" si="0"/>
        <v>El destino que proviene de un 4 y 1 otorga (positivo/negativo)</v>
      </c>
      <c r="C36" s="24" t="s">
        <v>474</v>
      </c>
    </row>
    <row r="37" spans="1:3" ht="40" customHeight="1" x14ac:dyDescent="0.35">
      <c r="A37" s="7" t="s">
        <v>476</v>
      </c>
      <c r="B37" s="23" t="str">
        <f t="shared" si="0"/>
        <v>El destino que proviene de un 2 y 3 otorga (positivo/negativo)</v>
      </c>
      <c r="C37" s="24" t="s">
        <v>477</v>
      </c>
    </row>
    <row r="38" spans="1:3" ht="40" customHeight="1" x14ac:dyDescent="0.35">
      <c r="A38" s="7" t="s">
        <v>478</v>
      </c>
      <c r="B38" s="23" t="str">
        <f t="shared" si="0"/>
        <v>El destino que proviene de un 3 y 2 otorga (positivo/negativo)</v>
      </c>
      <c r="C38" s="24" t="s">
        <v>477</v>
      </c>
    </row>
    <row r="39" spans="1:3" ht="40" customHeight="1" x14ac:dyDescent="0.35">
      <c r="A39" s="7" t="s">
        <v>479</v>
      </c>
      <c r="B39" s="23" t="str">
        <f t="shared" si="0"/>
        <v>El destino que proviene de un 5 y 9 otorga (positivo/negativo)</v>
      </c>
      <c r="C39" s="24" t="s">
        <v>480</v>
      </c>
    </row>
    <row r="40" spans="1:3" ht="40" customHeight="1" x14ac:dyDescent="0.35">
      <c r="A40" s="7" t="s">
        <v>481</v>
      </c>
      <c r="B40" s="23" t="str">
        <f t="shared" si="0"/>
        <v>El destino que proviene de un 9 y 5 otorga (positivo/negativo)</v>
      </c>
      <c r="C40" s="24" t="s">
        <v>480</v>
      </c>
    </row>
    <row r="41" spans="1:3" ht="40" customHeight="1" x14ac:dyDescent="0.35">
      <c r="A41" s="7" t="s">
        <v>482</v>
      </c>
      <c r="B41" s="23" t="str">
        <f t="shared" si="0"/>
        <v>El destino que proviene de un 6 y 8 otorga (positivo/negativo)</v>
      </c>
      <c r="C41" s="24" t="s">
        <v>483</v>
      </c>
    </row>
    <row r="42" spans="1:3" ht="40" customHeight="1" x14ac:dyDescent="0.35">
      <c r="A42" s="7" t="s">
        <v>484</v>
      </c>
      <c r="B42" s="23" t="str">
        <f t="shared" si="0"/>
        <v>El destino que proviene de un 8 y 6 otorga (positivo/negativo)</v>
      </c>
      <c r="C42" s="24" t="s">
        <v>483</v>
      </c>
    </row>
    <row r="43" spans="1:3" ht="40" customHeight="1" x14ac:dyDescent="0.35">
      <c r="A43" s="7" t="s">
        <v>485</v>
      </c>
      <c r="B43" s="23" t="str">
        <f t="shared" si="0"/>
        <v>El destino que proviene de un 1 y 5 otorga (positivo/negativo)</v>
      </c>
      <c r="C43" s="24" t="s">
        <v>486</v>
      </c>
    </row>
    <row r="44" spans="1:3" ht="40" customHeight="1" x14ac:dyDescent="0.35">
      <c r="A44" s="7" t="s">
        <v>487</v>
      </c>
      <c r="B44" s="23" t="str">
        <f t="shared" si="0"/>
        <v>El destino que proviene de un 5 y 1 otorga (positivo/negativo)</v>
      </c>
      <c r="C44" s="24" t="s">
        <v>486</v>
      </c>
    </row>
    <row r="45" spans="1:3" ht="40" customHeight="1" x14ac:dyDescent="0.35">
      <c r="A45" s="7" t="s">
        <v>488</v>
      </c>
      <c r="B45" s="23" t="str">
        <f t="shared" si="0"/>
        <v>El destino que proviene de un 2 y 4 otorga (positivo/negativo)</v>
      </c>
      <c r="C45" s="24" t="s">
        <v>489</v>
      </c>
    </row>
    <row r="46" spans="1:3" ht="40" customHeight="1" x14ac:dyDescent="0.35">
      <c r="A46" s="7" t="s">
        <v>490</v>
      </c>
      <c r="B46" s="23" t="str">
        <f t="shared" si="0"/>
        <v>El destino que proviene de un 4 y 2 otorga (positivo/negativo)</v>
      </c>
      <c r="C46" s="24" t="s">
        <v>489</v>
      </c>
    </row>
    <row r="47" spans="1:3" ht="40" customHeight="1" x14ac:dyDescent="0.35">
      <c r="A47" s="7" t="s">
        <v>491</v>
      </c>
      <c r="B47" s="23" t="str">
        <f t="shared" si="0"/>
        <v>El destino que proviene de un 6 y 9 otorga (positivo/negativo)</v>
      </c>
      <c r="C47" s="24" t="s">
        <v>492</v>
      </c>
    </row>
    <row r="48" spans="1:3" ht="40" customHeight="1" x14ac:dyDescent="0.35">
      <c r="A48" s="7" t="s">
        <v>493</v>
      </c>
      <c r="B48" s="23" t="str">
        <f t="shared" si="0"/>
        <v>El destino que proviene de un 9 y 6 otorga (positivo/negativo)</v>
      </c>
      <c r="C48" s="24" t="s">
        <v>492</v>
      </c>
    </row>
    <row r="49" spans="1:3" ht="40" customHeight="1" x14ac:dyDescent="0.35">
      <c r="A49" s="7" t="s">
        <v>494</v>
      </c>
      <c r="B49" s="23" t="str">
        <f t="shared" si="0"/>
        <v>El destino que proviene de un 7 y 8 otorga (positivo/negativo)</v>
      </c>
      <c r="C49" s="24" t="s">
        <v>495</v>
      </c>
    </row>
    <row r="50" spans="1:3" ht="40" customHeight="1" x14ac:dyDescent="0.35">
      <c r="A50" s="7" t="s">
        <v>496</v>
      </c>
      <c r="B50" s="23" t="str">
        <f t="shared" si="0"/>
        <v>El destino que proviene de un 8 y 7 otorga (positivo/negativo)</v>
      </c>
      <c r="C50" s="24" t="s">
        <v>495</v>
      </c>
    </row>
    <row r="51" spans="1:3" ht="40" customHeight="1" x14ac:dyDescent="0.35">
      <c r="A51" s="7" t="s">
        <v>497</v>
      </c>
      <c r="B51" s="23" t="str">
        <f t="shared" si="0"/>
        <v>El destino que proviene de un 1 y 6 otorga (positivo/negativo)</v>
      </c>
      <c r="C51" s="24" t="s">
        <v>498</v>
      </c>
    </row>
    <row r="52" spans="1:3" ht="40" customHeight="1" x14ac:dyDescent="0.35">
      <c r="A52" s="7" t="s">
        <v>499</v>
      </c>
      <c r="B52" s="23" t="str">
        <f t="shared" si="0"/>
        <v>El destino que proviene de un 6 y 1 otorga (positivo/negativo)</v>
      </c>
      <c r="C52" s="24" t="s">
        <v>498</v>
      </c>
    </row>
    <row r="53" spans="1:3" ht="40" customHeight="1" x14ac:dyDescent="0.35">
      <c r="A53" s="7" t="s">
        <v>500</v>
      </c>
      <c r="B53" s="23" t="str">
        <f t="shared" si="0"/>
        <v>El destino que proviene de un 2 y 5 otorga (positivo/negativo)</v>
      </c>
      <c r="C53" s="24" t="s">
        <v>501</v>
      </c>
    </row>
    <row r="54" spans="1:3" ht="40" customHeight="1" x14ac:dyDescent="0.35">
      <c r="A54" s="7" t="s">
        <v>502</v>
      </c>
      <c r="B54" s="23" t="str">
        <f t="shared" si="0"/>
        <v>El destino que proviene de un 5 y 2 otorga (positivo/negativo)</v>
      </c>
      <c r="C54" s="24" t="s">
        <v>501</v>
      </c>
    </row>
    <row r="55" spans="1:3" ht="40" customHeight="1" x14ac:dyDescent="0.35">
      <c r="A55" s="7" t="s">
        <v>503</v>
      </c>
      <c r="B55" s="23" t="str">
        <f t="shared" si="0"/>
        <v>El destino que proviene de un 3 y 4 otorga (positivo/negativo)</v>
      </c>
      <c r="C55" s="24" t="s">
        <v>504</v>
      </c>
    </row>
    <row r="56" spans="1:3" ht="40" customHeight="1" x14ac:dyDescent="0.35">
      <c r="A56" s="7" t="s">
        <v>505</v>
      </c>
      <c r="B56" s="23" t="str">
        <f t="shared" si="0"/>
        <v>El destino que proviene de un 4 y 3 otorga (positivo/negativo)</v>
      </c>
      <c r="C56" s="24" t="s">
        <v>504</v>
      </c>
    </row>
    <row r="57" spans="1:3" ht="40" customHeight="1" x14ac:dyDescent="0.35">
      <c r="A57" s="7" t="s">
        <v>506</v>
      </c>
      <c r="B57" s="23" t="str">
        <f t="shared" si="0"/>
        <v>El destino que proviene de un 7 y 9 otorga (positivo/negativo)</v>
      </c>
      <c r="C57" s="24" t="s">
        <v>507</v>
      </c>
    </row>
    <row r="58" spans="1:3" ht="40" customHeight="1" x14ac:dyDescent="0.35">
      <c r="A58" s="7" t="s">
        <v>508</v>
      </c>
      <c r="B58" s="23" t="str">
        <f t="shared" si="0"/>
        <v>El destino que proviene de un 9 y 7 otorga (positivo/negativo)</v>
      </c>
      <c r="C58" s="24" t="s">
        <v>507</v>
      </c>
    </row>
    <row r="59" spans="1:3" ht="40" customHeight="1" x14ac:dyDescent="0.35">
      <c r="A59" s="7" t="s">
        <v>509</v>
      </c>
      <c r="B59" s="23" t="str">
        <f t="shared" si="0"/>
        <v>El destino que proviene de un 1 y 7 otorga (positivo/negativo)</v>
      </c>
      <c r="C59" s="24" t="s">
        <v>510</v>
      </c>
    </row>
    <row r="60" spans="1:3" ht="40" customHeight="1" x14ac:dyDescent="0.35">
      <c r="A60" s="7" t="s">
        <v>511</v>
      </c>
      <c r="B60" s="23" t="str">
        <f t="shared" si="0"/>
        <v>El destino que proviene de un 7 y 1 otorga (positivo/negativo)</v>
      </c>
      <c r="C60" s="24" t="s">
        <v>510</v>
      </c>
    </row>
    <row r="61" spans="1:3" ht="40" customHeight="1" x14ac:dyDescent="0.35">
      <c r="A61" s="7" t="s">
        <v>512</v>
      </c>
      <c r="B61" s="23" t="str">
        <f t="shared" si="0"/>
        <v>El destino que proviene de un 2 y 6 otorga (positivo/negativo)</v>
      </c>
      <c r="C61" s="24" t="s">
        <v>513</v>
      </c>
    </row>
    <row r="62" spans="1:3" ht="40" customHeight="1" x14ac:dyDescent="0.35">
      <c r="A62" s="7" t="s">
        <v>514</v>
      </c>
      <c r="B62" s="23" t="str">
        <f t="shared" si="0"/>
        <v>El destino que proviene de un 6 y 2 otorga (positivo/negativo)</v>
      </c>
      <c r="C62" s="24" t="s">
        <v>513</v>
      </c>
    </row>
    <row r="63" spans="1:3" ht="40" customHeight="1" x14ac:dyDescent="0.35">
      <c r="A63" s="7" t="s">
        <v>515</v>
      </c>
      <c r="B63" s="23" t="str">
        <f t="shared" si="0"/>
        <v>El destino que proviene de un 3 y 5 otorga (positivo/negativo)</v>
      </c>
      <c r="C63" s="24" t="s">
        <v>516</v>
      </c>
    </row>
    <row r="64" spans="1:3" ht="40" customHeight="1" x14ac:dyDescent="0.35">
      <c r="A64" s="7" t="s">
        <v>517</v>
      </c>
      <c r="B64" s="23" t="str">
        <f t="shared" si="0"/>
        <v>El destino que proviene de un 5 y 3 otorga (positivo/negativo)</v>
      </c>
      <c r="C64" s="24" t="s">
        <v>516</v>
      </c>
    </row>
    <row r="65" spans="1:3" ht="40" customHeight="1" x14ac:dyDescent="0.35">
      <c r="A65" s="7" t="s">
        <v>518</v>
      </c>
      <c r="B65" s="23" t="str">
        <f t="shared" si="0"/>
        <v>El destino que proviene de un 8 y 9 otorga (positivo/negativo)</v>
      </c>
      <c r="C65" s="24" t="s">
        <v>519</v>
      </c>
    </row>
    <row r="66" spans="1:3" ht="40" customHeight="1" x14ac:dyDescent="0.35">
      <c r="A66" s="7" t="s">
        <v>520</v>
      </c>
      <c r="B66" s="23" t="str">
        <f t="shared" si="0"/>
        <v>El destino que proviene de un 9 y 8 otorga (positivo/negativo)</v>
      </c>
      <c r="C66" s="24" t="s">
        <v>519</v>
      </c>
    </row>
    <row r="67" spans="1:3" ht="40" customHeight="1" x14ac:dyDescent="0.35">
      <c r="A67" s="7" t="s">
        <v>521</v>
      </c>
      <c r="B67" s="23" t="str">
        <f t="shared" si="0"/>
        <v>El destino que proviene de un 1 y 8 otorga (positivo/negativo)</v>
      </c>
      <c r="C67" s="24" t="s">
        <v>522</v>
      </c>
    </row>
    <row r="68" spans="1:3" ht="40" customHeight="1" x14ac:dyDescent="0.35">
      <c r="A68" s="7" t="s">
        <v>523</v>
      </c>
      <c r="B68" s="23" t="str">
        <f t="shared" ref="B68:B74" si="1">"El destino que proviene de un "&amp;A68&amp;" otorga (positivo/negativo)"</f>
        <v>El destino que proviene de un 8 y 1 otorga (positivo/negativo)</v>
      </c>
      <c r="C68" s="24" t="s">
        <v>522</v>
      </c>
    </row>
    <row r="69" spans="1:3" ht="40" customHeight="1" x14ac:dyDescent="0.35">
      <c r="A69" s="7" t="s">
        <v>524</v>
      </c>
      <c r="B69" s="23" t="str">
        <f t="shared" si="1"/>
        <v>El destino que proviene de un 2 y 7 otorga (positivo/negativo)</v>
      </c>
      <c r="C69" s="24" t="s">
        <v>525</v>
      </c>
    </row>
    <row r="70" spans="1:3" ht="40" customHeight="1" x14ac:dyDescent="0.35">
      <c r="A70" s="7" t="s">
        <v>526</v>
      </c>
      <c r="B70" s="23" t="str">
        <f t="shared" si="1"/>
        <v>El destino que proviene de un 7 y 2 otorga (positivo/negativo)</v>
      </c>
      <c r="C70" s="24" t="s">
        <v>525</v>
      </c>
    </row>
    <row r="71" spans="1:3" ht="40" customHeight="1" x14ac:dyDescent="0.35">
      <c r="A71" s="7" t="s">
        <v>527</v>
      </c>
      <c r="B71" s="23" t="str">
        <f t="shared" si="1"/>
        <v>El destino que proviene de un 3 y 6 otorga (positivo/negativo)</v>
      </c>
      <c r="C71" s="24" t="s">
        <v>528</v>
      </c>
    </row>
    <row r="72" spans="1:3" ht="40" customHeight="1" x14ac:dyDescent="0.35">
      <c r="A72" s="7" t="s">
        <v>529</v>
      </c>
      <c r="B72" s="23" t="str">
        <f t="shared" si="1"/>
        <v>El destino que proviene de un 6 y 3 otorga (positivo/negativo)</v>
      </c>
      <c r="C72" s="24" t="s">
        <v>528</v>
      </c>
    </row>
    <row r="73" spans="1:3" ht="40" customHeight="1" x14ac:dyDescent="0.35">
      <c r="A73" s="7" t="s">
        <v>530</v>
      </c>
      <c r="B73" s="23" t="str">
        <f t="shared" si="1"/>
        <v>El destino que proviene de un 4 y 5 otorga (positivo/negativo)</v>
      </c>
      <c r="C73" s="24" t="s">
        <v>531</v>
      </c>
    </row>
    <row r="74" spans="1:3" ht="40" customHeight="1" thickBot="1" x14ac:dyDescent="0.4">
      <c r="A74" s="10" t="s">
        <v>532</v>
      </c>
      <c r="B74" s="25" t="str">
        <f t="shared" si="1"/>
        <v>El destino que proviene de un 5 y 4 otorga (positivo/negativo)</v>
      </c>
      <c r="C74" s="27" t="s">
        <v>531</v>
      </c>
    </row>
  </sheetData>
  <mergeCells count="1">
    <mergeCell ref="A1:C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09DE4-EEDE-477B-890D-693155CC495D}">
  <dimension ref="A1:C26"/>
  <sheetViews>
    <sheetView workbookViewId="0">
      <selection activeCell="D3" sqref="D3"/>
    </sheetView>
  </sheetViews>
  <sheetFormatPr baseColWidth="10" defaultRowHeight="14.5" x14ac:dyDescent="0.35"/>
  <sheetData>
    <row r="1" spans="1:3" ht="15" thickBot="1" x14ac:dyDescent="0.4">
      <c r="A1" s="15" t="s">
        <v>533</v>
      </c>
      <c r="B1" s="16"/>
      <c r="C1" s="17"/>
    </row>
    <row r="2" spans="1:3" ht="15" thickBot="1" x14ac:dyDescent="0.4">
      <c r="A2" s="1" t="s">
        <v>0</v>
      </c>
      <c r="B2" s="2" t="s">
        <v>1</v>
      </c>
      <c r="C2" s="3" t="s">
        <v>2</v>
      </c>
    </row>
    <row r="3" spans="1:3" ht="40" customHeight="1" x14ac:dyDescent="0.35">
      <c r="A3" s="4">
        <v>7</v>
      </c>
      <c r="B3" s="21" t="str">
        <f>"Hay "&amp;A3&amp;" letras en tu nombre"</f>
        <v>Hay 7 letras en tu nombre</v>
      </c>
      <c r="C3" s="22" t="s">
        <v>534</v>
      </c>
    </row>
    <row r="4" spans="1:3" ht="40" customHeight="1" x14ac:dyDescent="0.35">
      <c r="A4" s="7">
        <v>8</v>
      </c>
      <c r="B4" s="23" t="str">
        <f t="shared" ref="B4:B26" si="0">"Hay "&amp;A4&amp;" letras en tu nombre"</f>
        <v>Hay 8 letras en tu nombre</v>
      </c>
      <c r="C4" s="24" t="s">
        <v>535</v>
      </c>
    </row>
    <row r="5" spans="1:3" ht="40" customHeight="1" x14ac:dyDescent="0.35">
      <c r="A5" s="7">
        <v>9</v>
      </c>
      <c r="B5" s="23" t="str">
        <f t="shared" si="0"/>
        <v>Hay 9 letras en tu nombre</v>
      </c>
      <c r="C5" s="24" t="s">
        <v>536</v>
      </c>
    </row>
    <row r="6" spans="1:3" ht="40" customHeight="1" x14ac:dyDescent="0.35">
      <c r="A6" s="7">
        <v>10</v>
      </c>
      <c r="B6" s="23" t="str">
        <f t="shared" si="0"/>
        <v>Hay 10 letras en tu nombre</v>
      </c>
      <c r="C6" s="24" t="s">
        <v>537</v>
      </c>
    </row>
    <row r="7" spans="1:3" ht="40" customHeight="1" x14ac:dyDescent="0.35">
      <c r="A7" s="7">
        <v>11</v>
      </c>
      <c r="B7" s="23" t="str">
        <f t="shared" si="0"/>
        <v>Hay 11 letras en tu nombre</v>
      </c>
      <c r="C7" s="24" t="s">
        <v>538</v>
      </c>
    </row>
    <row r="8" spans="1:3" ht="40" customHeight="1" x14ac:dyDescent="0.35">
      <c r="A8" s="7">
        <v>12</v>
      </c>
      <c r="B8" s="23" t="str">
        <f t="shared" si="0"/>
        <v>Hay 12 letras en tu nombre</v>
      </c>
      <c r="C8" s="24" t="s">
        <v>539</v>
      </c>
    </row>
    <row r="9" spans="1:3" ht="40" customHeight="1" x14ac:dyDescent="0.35">
      <c r="A9" s="7">
        <v>13</v>
      </c>
      <c r="B9" s="23" t="str">
        <f t="shared" si="0"/>
        <v>Hay 13 letras en tu nombre</v>
      </c>
      <c r="C9" s="24" t="s">
        <v>540</v>
      </c>
    </row>
    <row r="10" spans="1:3" ht="40" customHeight="1" x14ac:dyDescent="0.35">
      <c r="A10" s="7">
        <v>14</v>
      </c>
      <c r="B10" s="23" t="str">
        <f t="shared" si="0"/>
        <v>Hay 14 letras en tu nombre</v>
      </c>
      <c r="C10" s="24" t="s">
        <v>541</v>
      </c>
    </row>
    <row r="11" spans="1:3" ht="40" customHeight="1" x14ac:dyDescent="0.35">
      <c r="A11" s="7">
        <v>15</v>
      </c>
      <c r="B11" s="23" t="str">
        <f t="shared" si="0"/>
        <v>Hay 15 letras en tu nombre</v>
      </c>
      <c r="C11" s="24" t="s">
        <v>542</v>
      </c>
    </row>
    <row r="12" spans="1:3" ht="40" customHeight="1" x14ac:dyDescent="0.35">
      <c r="A12" s="7">
        <v>16</v>
      </c>
      <c r="B12" s="23" t="str">
        <f t="shared" si="0"/>
        <v>Hay 16 letras en tu nombre</v>
      </c>
      <c r="C12" s="24" t="s">
        <v>543</v>
      </c>
    </row>
    <row r="13" spans="1:3" ht="40" customHeight="1" x14ac:dyDescent="0.35">
      <c r="A13" s="7">
        <v>17</v>
      </c>
      <c r="B13" s="23" t="str">
        <f t="shared" si="0"/>
        <v>Hay 17 letras en tu nombre</v>
      </c>
      <c r="C13" s="24" t="s">
        <v>544</v>
      </c>
    </row>
    <row r="14" spans="1:3" ht="40" customHeight="1" x14ac:dyDescent="0.35">
      <c r="A14" s="7">
        <v>18</v>
      </c>
      <c r="B14" s="23" t="str">
        <f t="shared" si="0"/>
        <v>Hay 18 letras en tu nombre</v>
      </c>
      <c r="C14" s="24" t="s">
        <v>545</v>
      </c>
    </row>
    <row r="15" spans="1:3" ht="40" customHeight="1" x14ac:dyDescent="0.35">
      <c r="A15" s="7">
        <v>19</v>
      </c>
      <c r="B15" s="23" t="str">
        <f t="shared" si="0"/>
        <v>Hay 19 letras en tu nombre</v>
      </c>
      <c r="C15" s="24" t="s">
        <v>546</v>
      </c>
    </row>
    <row r="16" spans="1:3" ht="40" customHeight="1" x14ac:dyDescent="0.35">
      <c r="A16" s="7">
        <v>20</v>
      </c>
      <c r="B16" s="23" t="str">
        <f t="shared" si="0"/>
        <v>Hay 20 letras en tu nombre</v>
      </c>
      <c r="C16" s="24" t="s">
        <v>547</v>
      </c>
    </row>
    <row r="17" spans="1:3" ht="40" customHeight="1" x14ac:dyDescent="0.35">
      <c r="A17" s="7">
        <v>21</v>
      </c>
      <c r="B17" s="23" t="str">
        <f t="shared" si="0"/>
        <v>Hay 21 letras en tu nombre</v>
      </c>
      <c r="C17" s="24" t="s">
        <v>548</v>
      </c>
    </row>
    <row r="18" spans="1:3" ht="40" customHeight="1" x14ac:dyDescent="0.35">
      <c r="A18" s="7">
        <v>22</v>
      </c>
      <c r="B18" s="23" t="str">
        <f t="shared" si="0"/>
        <v>Hay 22 letras en tu nombre</v>
      </c>
      <c r="C18" s="24" t="s">
        <v>549</v>
      </c>
    </row>
    <row r="19" spans="1:3" ht="40" customHeight="1" x14ac:dyDescent="0.35">
      <c r="A19" s="7">
        <v>23</v>
      </c>
      <c r="B19" s="23" t="str">
        <f t="shared" si="0"/>
        <v>Hay 23 letras en tu nombre</v>
      </c>
      <c r="C19" s="24" t="s">
        <v>550</v>
      </c>
    </row>
    <row r="20" spans="1:3" ht="40" customHeight="1" x14ac:dyDescent="0.35">
      <c r="A20" s="7">
        <v>24</v>
      </c>
      <c r="B20" s="23" t="str">
        <f t="shared" si="0"/>
        <v>Hay 24 letras en tu nombre</v>
      </c>
      <c r="C20" s="24" t="s">
        <v>551</v>
      </c>
    </row>
    <row r="21" spans="1:3" ht="40" customHeight="1" x14ac:dyDescent="0.35">
      <c r="A21" s="7">
        <v>25</v>
      </c>
      <c r="B21" s="23" t="str">
        <f t="shared" si="0"/>
        <v>Hay 25 letras en tu nombre</v>
      </c>
      <c r="C21" s="24" t="s">
        <v>552</v>
      </c>
    </row>
    <row r="22" spans="1:3" ht="40" customHeight="1" x14ac:dyDescent="0.35">
      <c r="A22" s="7">
        <v>26</v>
      </c>
      <c r="B22" s="23" t="str">
        <f t="shared" si="0"/>
        <v>Hay 26 letras en tu nombre</v>
      </c>
      <c r="C22" s="24" t="s">
        <v>553</v>
      </c>
    </row>
    <row r="23" spans="1:3" ht="40" customHeight="1" x14ac:dyDescent="0.35">
      <c r="A23" s="7">
        <v>27</v>
      </c>
      <c r="B23" s="23" t="str">
        <f t="shared" si="0"/>
        <v>Hay 27 letras en tu nombre</v>
      </c>
      <c r="C23" s="24" t="s">
        <v>554</v>
      </c>
    </row>
    <row r="24" spans="1:3" ht="40" customHeight="1" x14ac:dyDescent="0.35">
      <c r="A24" s="7">
        <v>28</v>
      </c>
      <c r="B24" s="23" t="str">
        <f t="shared" si="0"/>
        <v>Hay 28 letras en tu nombre</v>
      </c>
      <c r="C24" s="24" t="s">
        <v>555</v>
      </c>
    </row>
    <row r="25" spans="1:3" ht="40" customHeight="1" x14ac:dyDescent="0.35">
      <c r="A25" s="7">
        <v>29</v>
      </c>
      <c r="B25" s="23" t="str">
        <f t="shared" si="0"/>
        <v>Hay 29 letras en tu nombre</v>
      </c>
      <c r="C25" s="24" t="s">
        <v>556</v>
      </c>
    </row>
    <row r="26" spans="1:3" ht="40" customHeight="1" thickBot="1" x14ac:dyDescent="0.4">
      <c r="A26" s="10">
        <v>30</v>
      </c>
      <c r="B26" s="25" t="str">
        <f t="shared" si="0"/>
        <v>Hay 30 letras en tu nombre</v>
      </c>
      <c r="C26" s="27" t="s">
        <v>557</v>
      </c>
    </row>
  </sheetData>
  <mergeCells count="1">
    <mergeCell ref="A1:C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CD5BE-E5E6-4AA2-BD79-1C6CB774A5D2}">
  <dimension ref="A1:C11"/>
  <sheetViews>
    <sheetView workbookViewId="0">
      <selection activeCell="D3" sqref="D3"/>
    </sheetView>
  </sheetViews>
  <sheetFormatPr baseColWidth="10" defaultRowHeight="14.5" x14ac:dyDescent="0.35"/>
  <sheetData>
    <row r="1" spans="1:3" ht="15" thickBot="1" x14ac:dyDescent="0.4">
      <c r="A1" s="15" t="s">
        <v>558</v>
      </c>
      <c r="B1" s="16"/>
      <c r="C1" s="17"/>
    </row>
    <row r="2" spans="1:3" ht="15" thickBot="1" x14ac:dyDescent="0.4">
      <c r="A2" s="1" t="s">
        <v>0</v>
      </c>
      <c r="B2" s="2" t="s">
        <v>1</v>
      </c>
      <c r="C2" s="3" t="s">
        <v>2</v>
      </c>
    </row>
    <row r="3" spans="1:3" ht="40" customHeight="1" x14ac:dyDescent="0.35">
      <c r="A3" s="4">
        <v>1</v>
      </c>
      <c r="B3" s="21" t="str">
        <f>"Tu caracteristica de vida es "&amp;A3</f>
        <v>Tu caracteristica de vida es 1</v>
      </c>
      <c r="C3" s="22" t="s">
        <v>559</v>
      </c>
    </row>
    <row r="4" spans="1:3" ht="40" customHeight="1" x14ac:dyDescent="0.35">
      <c r="A4" s="7">
        <v>2</v>
      </c>
      <c r="B4" s="23" t="str">
        <f t="shared" ref="B4:B11" si="0">"Tu caracteristica de vida es "&amp;A4</f>
        <v>Tu caracteristica de vida es 2</v>
      </c>
      <c r="C4" s="24" t="s">
        <v>560</v>
      </c>
    </row>
    <row r="5" spans="1:3" ht="40" customHeight="1" x14ac:dyDescent="0.35">
      <c r="A5" s="7">
        <v>3</v>
      </c>
      <c r="B5" s="23" t="str">
        <f t="shared" si="0"/>
        <v>Tu caracteristica de vida es 3</v>
      </c>
      <c r="C5" s="24" t="s">
        <v>561</v>
      </c>
    </row>
    <row r="6" spans="1:3" ht="40" customHeight="1" x14ac:dyDescent="0.35">
      <c r="A6" s="7">
        <v>4</v>
      </c>
      <c r="B6" s="23" t="str">
        <f t="shared" si="0"/>
        <v>Tu caracteristica de vida es 4</v>
      </c>
      <c r="C6" s="24" t="s">
        <v>562</v>
      </c>
    </row>
    <row r="7" spans="1:3" ht="40" customHeight="1" x14ac:dyDescent="0.35">
      <c r="A7" s="7">
        <v>5</v>
      </c>
      <c r="B7" s="23" t="str">
        <f t="shared" si="0"/>
        <v>Tu caracteristica de vida es 5</v>
      </c>
      <c r="C7" s="24" t="s">
        <v>563</v>
      </c>
    </row>
    <row r="8" spans="1:3" ht="40" customHeight="1" x14ac:dyDescent="0.35">
      <c r="A8" s="7">
        <v>6</v>
      </c>
      <c r="B8" s="23" t="str">
        <f t="shared" si="0"/>
        <v>Tu caracteristica de vida es 6</v>
      </c>
      <c r="C8" s="24" t="s">
        <v>564</v>
      </c>
    </row>
    <row r="9" spans="1:3" ht="40" customHeight="1" x14ac:dyDescent="0.35">
      <c r="A9" s="7">
        <v>7</v>
      </c>
      <c r="B9" s="23" t="str">
        <f t="shared" si="0"/>
        <v>Tu caracteristica de vida es 7</v>
      </c>
      <c r="C9" s="24" t="s">
        <v>565</v>
      </c>
    </row>
    <row r="10" spans="1:3" ht="40" customHeight="1" x14ac:dyDescent="0.35">
      <c r="A10" s="7">
        <v>8</v>
      </c>
      <c r="B10" s="23" t="str">
        <f t="shared" si="0"/>
        <v>Tu caracteristica de vida es 8</v>
      </c>
      <c r="C10" s="24" t="s">
        <v>566</v>
      </c>
    </row>
    <row r="11" spans="1:3" ht="40" customHeight="1" thickBot="1" x14ac:dyDescent="0.4">
      <c r="A11" s="10">
        <v>9</v>
      </c>
      <c r="B11" s="25" t="str">
        <f t="shared" si="0"/>
        <v>Tu caracteristica de vida es 9</v>
      </c>
      <c r="C11" s="27" t="s">
        <v>567</v>
      </c>
    </row>
  </sheetData>
  <mergeCells count="1">
    <mergeCell ref="A1:C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C83C7-53DB-494B-B2A3-984744D0496D}">
  <dimension ref="A1:C11"/>
  <sheetViews>
    <sheetView workbookViewId="0">
      <selection activeCell="D3" sqref="D3"/>
    </sheetView>
  </sheetViews>
  <sheetFormatPr baseColWidth="10" defaultRowHeight="14.5" x14ac:dyDescent="0.35"/>
  <sheetData>
    <row r="1" spans="1:3" ht="15" thickBot="1" x14ac:dyDescent="0.4">
      <c r="A1" s="15" t="s">
        <v>568</v>
      </c>
      <c r="B1" s="16"/>
      <c r="C1" s="17"/>
    </row>
    <row r="2" spans="1:3" ht="15" thickBot="1" x14ac:dyDescent="0.4">
      <c r="A2" s="1" t="s">
        <v>0</v>
      </c>
      <c r="B2" s="2" t="s">
        <v>1</v>
      </c>
      <c r="C2" s="3" t="s">
        <v>2</v>
      </c>
    </row>
    <row r="3" spans="1:3" ht="40" customHeight="1" x14ac:dyDescent="0.35">
      <c r="A3" s="4">
        <v>1</v>
      </c>
      <c r="B3" s="21" t="str">
        <f>"Tu numero Hereditario es "&amp;A3</f>
        <v>Tu numero Hereditario es 1</v>
      </c>
      <c r="C3" s="22" t="s">
        <v>569</v>
      </c>
    </row>
    <row r="4" spans="1:3" ht="40" customHeight="1" x14ac:dyDescent="0.35">
      <c r="A4" s="7">
        <v>2</v>
      </c>
      <c r="B4" s="23" t="str">
        <f t="shared" ref="B4:B11" si="0">"Tu numero Hereditario es "&amp;A4</f>
        <v>Tu numero Hereditario es 2</v>
      </c>
      <c r="C4" s="24" t="s">
        <v>570</v>
      </c>
    </row>
    <row r="5" spans="1:3" ht="40" customHeight="1" x14ac:dyDescent="0.35">
      <c r="A5" s="7">
        <v>3</v>
      </c>
      <c r="B5" s="23" t="str">
        <f t="shared" si="0"/>
        <v>Tu numero Hereditario es 3</v>
      </c>
      <c r="C5" s="24" t="s">
        <v>571</v>
      </c>
    </row>
    <row r="6" spans="1:3" ht="40" customHeight="1" x14ac:dyDescent="0.35">
      <c r="A6" s="7">
        <v>4</v>
      </c>
      <c r="B6" s="23" t="str">
        <f t="shared" si="0"/>
        <v>Tu numero Hereditario es 4</v>
      </c>
      <c r="C6" s="24" t="s">
        <v>572</v>
      </c>
    </row>
    <row r="7" spans="1:3" ht="40" customHeight="1" x14ac:dyDescent="0.35">
      <c r="A7" s="7">
        <v>5</v>
      </c>
      <c r="B7" s="23" t="str">
        <f t="shared" si="0"/>
        <v>Tu numero Hereditario es 5</v>
      </c>
      <c r="C7" s="24" t="s">
        <v>573</v>
      </c>
    </row>
    <row r="8" spans="1:3" ht="40" customHeight="1" x14ac:dyDescent="0.35">
      <c r="A8" s="7">
        <v>6</v>
      </c>
      <c r="B8" s="23" t="str">
        <f t="shared" si="0"/>
        <v>Tu numero Hereditario es 6</v>
      </c>
      <c r="C8" s="24" t="s">
        <v>574</v>
      </c>
    </row>
    <row r="9" spans="1:3" ht="40" customHeight="1" x14ac:dyDescent="0.35">
      <c r="A9" s="7">
        <v>7</v>
      </c>
      <c r="B9" s="23" t="str">
        <f t="shared" si="0"/>
        <v>Tu numero Hereditario es 7</v>
      </c>
      <c r="C9" s="24" t="s">
        <v>575</v>
      </c>
    </row>
    <row r="10" spans="1:3" ht="40" customHeight="1" x14ac:dyDescent="0.35">
      <c r="A10" s="7">
        <v>8</v>
      </c>
      <c r="B10" s="23" t="str">
        <f t="shared" si="0"/>
        <v>Tu numero Hereditario es 8</v>
      </c>
      <c r="C10" s="24" t="s">
        <v>576</v>
      </c>
    </row>
    <row r="11" spans="1:3" ht="40" customHeight="1" thickBot="1" x14ac:dyDescent="0.4">
      <c r="A11" s="10">
        <v>9</v>
      </c>
      <c r="B11" s="25" t="str">
        <f t="shared" si="0"/>
        <v>Tu numero Hereditario es 9</v>
      </c>
      <c r="C11" s="27" t="s">
        <v>577</v>
      </c>
    </row>
  </sheetData>
  <mergeCells count="1">
    <mergeCell ref="A1:C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5F19-95ED-443A-B932-2369FE66E900}">
  <dimension ref="A1:C14"/>
  <sheetViews>
    <sheetView workbookViewId="0">
      <selection activeCell="D3" sqref="D3"/>
    </sheetView>
  </sheetViews>
  <sheetFormatPr baseColWidth="10" defaultRowHeight="14.5" x14ac:dyDescent="0.35"/>
  <sheetData>
    <row r="1" spans="1:3" ht="15" thickBot="1" x14ac:dyDescent="0.4">
      <c r="A1" s="15" t="s">
        <v>578</v>
      </c>
      <c r="B1" s="16"/>
      <c r="C1" s="17"/>
    </row>
    <row r="2" spans="1:3" ht="15" thickBot="1" x14ac:dyDescent="0.4">
      <c r="A2" s="1" t="s">
        <v>0</v>
      </c>
      <c r="B2" s="2" t="s">
        <v>1</v>
      </c>
      <c r="C2" s="3" t="s">
        <v>2</v>
      </c>
    </row>
    <row r="3" spans="1:3" ht="40" customHeight="1" x14ac:dyDescent="0.35">
      <c r="A3" s="4">
        <v>1</v>
      </c>
      <c r="B3" s="21" t="str">
        <f>"Tu numero de talento es "&amp;A3</f>
        <v>Tu numero de talento es 1</v>
      </c>
      <c r="C3" s="22" t="s">
        <v>579</v>
      </c>
    </row>
    <row r="4" spans="1:3" ht="40" customHeight="1" x14ac:dyDescent="0.35">
      <c r="A4" s="7">
        <v>2</v>
      </c>
      <c r="B4" s="23" t="str">
        <f t="shared" ref="B4:B11" si="0">"Tu numero de talento es "&amp;A4</f>
        <v>Tu numero de talento es 2</v>
      </c>
      <c r="C4" s="24" t="s">
        <v>580</v>
      </c>
    </row>
    <row r="5" spans="1:3" ht="40" customHeight="1" x14ac:dyDescent="0.35">
      <c r="A5" s="7">
        <v>3</v>
      </c>
      <c r="B5" s="23" t="str">
        <f t="shared" si="0"/>
        <v>Tu numero de talento es 3</v>
      </c>
      <c r="C5" s="24" t="s">
        <v>581</v>
      </c>
    </row>
    <row r="6" spans="1:3" ht="40" customHeight="1" x14ac:dyDescent="0.35">
      <c r="A6" s="7">
        <v>4</v>
      </c>
      <c r="B6" s="23" t="str">
        <f t="shared" si="0"/>
        <v>Tu numero de talento es 4</v>
      </c>
      <c r="C6" s="24" t="s">
        <v>582</v>
      </c>
    </row>
    <row r="7" spans="1:3" ht="40" customHeight="1" x14ac:dyDescent="0.35">
      <c r="A7" s="7">
        <v>5</v>
      </c>
      <c r="B7" s="23" t="str">
        <f t="shared" si="0"/>
        <v>Tu numero de talento es 5</v>
      </c>
      <c r="C7" s="24" t="s">
        <v>583</v>
      </c>
    </row>
    <row r="8" spans="1:3" ht="40" customHeight="1" x14ac:dyDescent="0.35">
      <c r="A8" s="7">
        <v>6</v>
      </c>
      <c r="B8" s="23" t="str">
        <f t="shared" si="0"/>
        <v>Tu numero de talento es 6</v>
      </c>
      <c r="C8" s="24" t="s">
        <v>584</v>
      </c>
    </row>
    <row r="9" spans="1:3" ht="40" customHeight="1" x14ac:dyDescent="0.35">
      <c r="A9" s="7">
        <v>7</v>
      </c>
      <c r="B9" s="23" t="str">
        <f t="shared" si="0"/>
        <v>Tu numero de talento es 7</v>
      </c>
      <c r="C9" s="24" t="s">
        <v>585</v>
      </c>
    </row>
    <row r="10" spans="1:3" ht="40" customHeight="1" x14ac:dyDescent="0.35">
      <c r="A10" s="7">
        <v>8</v>
      </c>
      <c r="B10" s="23" t="str">
        <f t="shared" si="0"/>
        <v>Tu numero de talento es 8</v>
      </c>
      <c r="C10" s="24" t="s">
        <v>586</v>
      </c>
    </row>
    <row r="11" spans="1:3" ht="40" customHeight="1" x14ac:dyDescent="0.35">
      <c r="A11" s="7">
        <v>9</v>
      </c>
      <c r="B11" s="23" t="str">
        <f t="shared" si="0"/>
        <v>Tu numero de talento es 9</v>
      </c>
      <c r="C11" s="24" t="s">
        <v>587</v>
      </c>
    </row>
    <row r="12" spans="1:3" ht="40" customHeight="1" x14ac:dyDescent="0.35">
      <c r="A12" s="7">
        <v>11</v>
      </c>
      <c r="B12" s="23" t="s">
        <v>588</v>
      </c>
      <c r="C12" s="24" t="s">
        <v>580</v>
      </c>
    </row>
    <row r="13" spans="1:3" ht="40" customHeight="1" x14ac:dyDescent="0.35">
      <c r="A13" s="7">
        <v>22</v>
      </c>
      <c r="B13" s="23" t="s">
        <v>589</v>
      </c>
      <c r="C13" s="24" t="s">
        <v>582</v>
      </c>
    </row>
    <row r="14" spans="1:3" ht="40" customHeight="1" thickBot="1" x14ac:dyDescent="0.4">
      <c r="A14" s="10">
        <v>33</v>
      </c>
      <c r="B14" s="25" t="s">
        <v>590</v>
      </c>
      <c r="C14" s="27" t="s">
        <v>584</v>
      </c>
    </row>
  </sheetData>
  <mergeCells count="1">
    <mergeCell ref="A1:C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68F70-6133-44FA-8CB2-A196114C10BC}">
  <dimension ref="A1:C11"/>
  <sheetViews>
    <sheetView workbookViewId="0">
      <selection activeCell="D3" sqref="D3"/>
    </sheetView>
  </sheetViews>
  <sheetFormatPr baseColWidth="10" defaultRowHeight="14.5" x14ac:dyDescent="0.35"/>
  <sheetData>
    <row r="1" spans="1:3" ht="15" thickBot="1" x14ac:dyDescent="0.4">
      <c r="A1" s="15" t="s">
        <v>591</v>
      </c>
      <c r="B1" s="16"/>
      <c r="C1" s="17"/>
    </row>
    <row r="2" spans="1:3" ht="15" thickBot="1" x14ac:dyDescent="0.4">
      <c r="A2" s="1" t="s">
        <v>0</v>
      </c>
      <c r="B2" s="2" t="s">
        <v>1</v>
      </c>
      <c r="C2" s="3" t="s">
        <v>2</v>
      </c>
    </row>
    <row r="3" spans="1:3" ht="40" customHeight="1" x14ac:dyDescent="0.35">
      <c r="A3" s="4">
        <v>1</v>
      </c>
      <c r="B3" s="21" t="str">
        <f>"Tu estado espiritual es "&amp;A3</f>
        <v>Tu estado espiritual es 1</v>
      </c>
      <c r="C3" s="22" t="s">
        <v>592</v>
      </c>
    </row>
    <row r="4" spans="1:3" ht="40" customHeight="1" x14ac:dyDescent="0.35">
      <c r="A4" s="7">
        <v>2</v>
      </c>
      <c r="B4" s="23" t="str">
        <f t="shared" ref="B4:B11" si="0">"Tu estado espiritual es "&amp;A4</f>
        <v>Tu estado espiritual es 2</v>
      </c>
      <c r="C4" s="24" t="s">
        <v>593</v>
      </c>
    </row>
    <row r="5" spans="1:3" ht="40" customHeight="1" x14ac:dyDescent="0.35">
      <c r="A5" s="7">
        <v>3</v>
      </c>
      <c r="B5" s="23" t="str">
        <f t="shared" si="0"/>
        <v>Tu estado espiritual es 3</v>
      </c>
      <c r="C5" s="24" t="s">
        <v>594</v>
      </c>
    </row>
    <row r="6" spans="1:3" ht="40" customHeight="1" x14ac:dyDescent="0.35">
      <c r="A6" s="7">
        <v>4</v>
      </c>
      <c r="B6" s="23" t="str">
        <f t="shared" si="0"/>
        <v>Tu estado espiritual es 4</v>
      </c>
      <c r="C6" s="24" t="s">
        <v>595</v>
      </c>
    </row>
    <row r="7" spans="1:3" ht="40" customHeight="1" x14ac:dyDescent="0.35">
      <c r="A7" s="7">
        <v>5</v>
      </c>
      <c r="B7" s="23" t="str">
        <f t="shared" si="0"/>
        <v>Tu estado espiritual es 5</v>
      </c>
      <c r="C7" s="24" t="s">
        <v>596</v>
      </c>
    </row>
    <row r="8" spans="1:3" ht="40" customHeight="1" x14ac:dyDescent="0.35">
      <c r="A8" s="7">
        <v>6</v>
      </c>
      <c r="B8" s="23" t="str">
        <f t="shared" si="0"/>
        <v>Tu estado espiritual es 6</v>
      </c>
      <c r="C8" s="24" t="s">
        <v>597</v>
      </c>
    </row>
    <row r="9" spans="1:3" ht="40" customHeight="1" x14ac:dyDescent="0.35">
      <c r="A9" s="7">
        <v>7</v>
      </c>
      <c r="B9" s="23" t="str">
        <f t="shared" si="0"/>
        <v>Tu estado espiritual es 7</v>
      </c>
      <c r="C9" s="24" t="s">
        <v>598</v>
      </c>
    </row>
    <row r="10" spans="1:3" ht="40" customHeight="1" x14ac:dyDescent="0.35">
      <c r="A10" s="7">
        <v>8</v>
      </c>
      <c r="B10" s="23" t="str">
        <f t="shared" si="0"/>
        <v>Tu estado espiritual es 8</v>
      </c>
      <c r="C10" s="24" t="s">
        <v>599</v>
      </c>
    </row>
    <row r="11" spans="1:3" ht="40" customHeight="1" thickBot="1" x14ac:dyDescent="0.4">
      <c r="A11" s="10">
        <v>9</v>
      </c>
      <c r="B11" s="25" t="str">
        <f t="shared" si="0"/>
        <v>Tu estado espiritual es 9</v>
      </c>
      <c r="C11" s="27" t="s">
        <v>600</v>
      </c>
    </row>
  </sheetData>
  <mergeCells count="1">
    <mergeCell ref="A1:C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E683B-D8BB-4B8F-93C9-FE42682CAC16}">
  <dimension ref="A1:C12"/>
  <sheetViews>
    <sheetView workbookViewId="0">
      <selection sqref="A1:C1"/>
    </sheetView>
  </sheetViews>
  <sheetFormatPr baseColWidth="10" defaultRowHeight="14.5" x14ac:dyDescent="0.35"/>
  <sheetData>
    <row r="1" spans="1:3" ht="15" thickBot="1" x14ac:dyDescent="0.4">
      <c r="A1" s="15" t="s">
        <v>601</v>
      </c>
      <c r="B1" s="16"/>
      <c r="C1" s="17"/>
    </row>
    <row r="2" spans="1:3" ht="15" thickBot="1" x14ac:dyDescent="0.4">
      <c r="A2" s="1" t="s">
        <v>0</v>
      </c>
      <c r="B2" s="2" t="s">
        <v>1</v>
      </c>
      <c r="C2" s="3" t="s">
        <v>2</v>
      </c>
    </row>
    <row r="3" spans="1:3" ht="40" customHeight="1" x14ac:dyDescent="0.35">
      <c r="A3" s="4">
        <v>1</v>
      </c>
      <c r="B3" s="21" t="str">
        <f>"Tu desafio Intimo es "&amp;A3</f>
        <v>Tu desafio Intimo es 1</v>
      </c>
      <c r="C3" s="22" t="s">
        <v>602</v>
      </c>
    </row>
    <row r="4" spans="1:3" ht="40" customHeight="1" x14ac:dyDescent="0.35">
      <c r="A4" s="7">
        <v>2</v>
      </c>
      <c r="B4" s="23" t="str">
        <f t="shared" ref="B4:B12" si="0">"Tu desafio Intimo es "&amp;A4</f>
        <v>Tu desafio Intimo es 2</v>
      </c>
      <c r="C4" s="24" t="s">
        <v>603</v>
      </c>
    </row>
    <row r="5" spans="1:3" ht="40" customHeight="1" x14ac:dyDescent="0.35">
      <c r="A5" s="7">
        <v>3</v>
      </c>
      <c r="B5" s="23" t="str">
        <f t="shared" si="0"/>
        <v>Tu desafio Intimo es 3</v>
      </c>
      <c r="C5" s="24" t="s">
        <v>604</v>
      </c>
    </row>
    <row r="6" spans="1:3" ht="40" customHeight="1" x14ac:dyDescent="0.35">
      <c r="A6" s="7">
        <v>4</v>
      </c>
      <c r="B6" s="23" t="str">
        <f t="shared" si="0"/>
        <v>Tu desafio Intimo es 4</v>
      </c>
      <c r="C6" s="24" t="s">
        <v>605</v>
      </c>
    </row>
    <row r="7" spans="1:3" ht="40" customHeight="1" x14ac:dyDescent="0.35">
      <c r="A7" s="7">
        <v>5</v>
      </c>
      <c r="B7" s="23" t="str">
        <f t="shared" si="0"/>
        <v>Tu desafio Intimo es 5</v>
      </c>
      <c r="C7" s="24" t="s">
        <v>606</v>
      </c>
    </row>
    <row r="8" spans="1:3" ht="40" customHeight="1" x14ac:dyDescent="0.35">
      <c r="A8" s="7">
        <v>6</v>
      </c>
      <c r="B8" s="23" t="str">
        <f t="shared" si="0"/>
        <v>Tu desafio Intimo es 6</v>
      </c>
      <c r="C8" s="24" t="s">
        <v>607</v>
      </c>
    </row>
    <row r="9" spans="1:3" ht="40" customHeight="1" x14ac:dyDescent="0.35">
      <c r="A9" s="7">
        <v>7</v>
      </c>
      <c r="B9" s="23" t="str">
        <f t="shared" si="0"/>
        <v>Tu desafio Intimo es 7</v>
      </c>
      <c r="C9" s="24" t="s">
        <v>608</v>
      </c>
    </row>
    <row r="10" spans="1:3" ht="40" customHeight="1" x14ac:dyDescent="0.35">
      <c r="A10" s="7">
        <v>8</v>
      </c>
      <c r="B10" s="23" t="str">
        <f t="shared" si="0"/>
        <v>Tu desafio Intimo es 8</v>
      </c>
      <c r="C10" s="24" t="s">
        <v>609</v>
      </c>
    </row>
    <row r="11" spans="1:3" ht="40" customHeight="1" x14ac:dyDescent="0.35">
      <c r="A11" s="7">
        <v>9</v>
      </c>
      <c r="B11" s="23" t="str">
        <f t="shared" si="0"/>
        <v>Tu desafio Intimo es 9</v>
      </c>
      <c r="C11" s="24" t="s">
        <v>610</v>
      </c>
    </row>
    <row r="12" spans="1:3" ht="40" customHeight="1" thickBot="1" x14ac:dyDescent="0.4">
      <c r="A12" s="10">
        <v>0</v>
      </c>
      <c r="B12" s="25" t="str">
        <f t="shared" si="0"/>
        <v>Tu desafio Intimo es 0</v>
      </c>
      <c r="C12" s="27" t="s">
        <v>611</v>
      </c>
    </row>
  </sheetData>
  <mergeCells count="1">
    <mergeCell ref="A1:C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5BF3-F398-44B6-A339-0AD62FD87C74}">
  <dimension ref="A1:C12"/>
  <sheetViews>
    <sheetView workbookViewId="0">
      <selection activeCell="D3" sqref="D3"/>
    </sheetView>
  </sheetViews>
  <sheetFormatPr baseColWidth="10" defaultRowHeight="14.5" x14ac:dyDescent="0.35"/>
  <sheetData>
    <row r="1" spans="1:3" ht="15" thickBot="1" x14ac:dyDescent="0.4">
      <c r="A1" s="15" t="s">
        <v>612</v>
      </c>
      <c r="B1" s="16"/>
      <c r="C1" s="17"/>
    </row>
    <row r="2" spans="1:3" ht="15" thickBot="1" x14ac:dyDescent="0.4">
      <c r="A2" s="1" t="s">
        <v>0</v>
      </c>
      <c r="B2" s="2" t="s">
        <v>1</v>
      </c>
      <c r="C2" s="3" t="s">
        <v>2</v>
      </c>
    </row>
    <row r="3" spans="1:3" ht="40" customHeight="1" x14ac:dyDescent="0.35">
      <c r="A3" s="4">
        <v>1</v>
      </c>
      <c r="B3" s="21" t="str">
        <f>"Tu desafio de Realización es "&amp;A3</f>
        <v>Tu desafio de Realización es 1</v>
      </c>
      <c r="C3" s="22" t="s">
        <v>613</v>
      </c>
    </row>
    <row r="4" spans="1:3" ht="40" customHeight="1" x14ac:dyDescent="0.35">
      <c r="A4" s="7">
        <v>2</v>
      </c>
      <c r="B4" s="23" t="str">
        <f t="shared" ref="B4:B12" si="0">"Tu desafio de Realización es "&amp;A4</f>
        <v>Tu desafio de Realización es 2</v>
      </c>
      <c r="C4" s="24" t="s">
        <v>614</v>
      </c>
    </row>
    <row r="5" spans="1:3" ht="40" customHeight="1" x14ac:dyDescent="0.35">
      <c r="A5" s="7">
        <v>3</v>
      </c>
      <c r="B5" s="23" t="str">
        <f t="shared" si="0"/>
        <v>Tu desafio de Realización es 3</v>
      </c>
      <c r="C5" s="24" t="s">
        <v>615</v>
      </c>
    </row>
    <row r="6" spans="1:3" ht="40" customHeight="1" x14ac:dyDescent="0.35">
      <c r="A6" s="7">
        <v>4</v>
      </c>
      <c r="B6" s="23" t="str">
        <f t="shared" si="0"/>
        <v>Tu desafio de Realización es 4</v>
      </c>
      <c r="C6" s="24" t="s">
        <v>616</v>
      </c>
    </row>
    <row r="7" spans="1:3" ht="40" customHeight="1" x14ac:dyDescent="0.35">
      <c r="A7" s="7">
        <v>5</v>
      </c>
      <c r="B7" s="23" t="str">
        <f t="shared" si="0"/>
        <v>Tu desafio de Realización es 5</v>
      </c>
      <c r="C7" s="24" t="s">
        <v>617</v>
      </c>
    </row>
    <row r="8" spans="1:3" ht="40" customHeight="1" x14ac:dyDescent="0.35">
      <c r="A8" s="7">
        <v>6</v>
      </c>
      <c r="B8" s="23" t="str">
        <f t="shared" si="0"/>
        <v>Tu desafio de Realización es 6</v>
      </c>
      <c r="C8" s="24" t="s">
        <v>618</v>
      </c>
    </row>
    <row r="9" spans="1:3" ht="40" customHeight="1" x14ac:dyDescent="0.35">
      <c r="A9" s="7">
        <v>7</v>
      </c>
      <c r="B9" s="23" t="str">
        <f t="shared" si="0"/>
        <v>Tu desafio de Realización es 7</v>
      </c>
      <c r="C9" s="24" t="s">
        <v>619</v>
      </c>
    </row>
    <row r="10" spans="1:3" ht="40" customHeight="1" x14ac:dyDescent="0.35">
      <c r="A10" s="7">
        <v>8</v>
      </c>
      <c r="B10" s="23" t="str">
        <f t="shared" si="0"/>
        <v>Tu desafio de Realización es 8</v>
      </c>
      <c r="C10" s="24" t="s">
        <v>620</v>
      </c>
    </row>
    <row r="11" spans="1:3" ht="40" customHeight="1" x14ac:dyDescent="0.35">
      <c r="A11" s="7">
        <v>9</v>
      </c>
      <c r="B11" s="23" t="str">
        <f t="shared" si="0"/>
        <v>Tu desafio de Realización es 9</v>
      </c>
      <c r="C11" s="24" t="s">
        <v>621</v>
      </c>
    </row>
    <row r="12" spans="1:3" ht="40" customHeight="1" thickBot="1" x14ac:dyDescent="0.4">
      <c r="A12" s="10">
        <v>0</v>
      </c>
      <c r="B12" s="25" t="str">
        <f t="shared" si="0"/>
        <v>Tu desafio de Realización es 0</v>
      </c>
      <c r="C12" s="27" t="s">
        <v>611</v>
      </c>
    </row>
  </sheetData>
  <mergeCells count="1">
    <mergeCell ref="A1:C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053A8-4C4D-4EFD-AD22-428B7D1680B8}">
  <dimension ref="A1:C12"/>
  <sheetViews>
    <sheetView workbookViewId="0">
      <selection activeCell="E3" sqref="E3"/>
    </sheetView>
  </sheetViews>
  <sheetFormatPr baseColWidth="10" defaultRowHeight="14.5" x14ac:dyDescent="0.35"/>
  <sheetData>
    <row r="1" spans="1:3" ht="15" thickBot="1" x14ac:dyDescent="0.4">
      <c r="A1" s="15" t="s">
        <v>622</v>
      </c>
      <c r="B1" s="16"/>
      <c r="C1" s="17"/>
    </row>
    <row r="2" spans="1:3" ht="15" thickBot="1" x14ac:dyDescent="0.4">
      <c r="A2" s="1" t="s">
        <v>0</v>
      </c>
      <c r="B2" s="2" t="s">
        <v>1</v>
      </c>
      <c r="C2" s="3" t="s">
        <v>2</v>
      </c>
    </row>
    <row r="3" spans="1:3" ht="40" customHeight="1" x14ac:dyDescent="0.35">
      <c r="A3" s="4">
        <v>1</v>
      </c>
      <c r="B3" s="21" t="str">
        <f>"Tu desafio de Expresión es "&amp;A3</f>
        <v>Tu desafio de Expresión es 1</v>
      </c>
      <c r="C3" s="22" t="s">
        <v>623</v>
      </c>
    </row>
    <row r="4" spans="1:3" ht="40" customHeight="1" x14ac:dyDescent="0.35">
      <c r="A4" s="7">
        <v>2</v>
      </c>
      <c r="B4" s="23" t="str">
        <f t="shared" ref="B4:B12" si="0">"Tu desafio de Expresión es "&amp;A4</f>
        <v>Tu desafio de Expresión es 2</v>
      </c>
      <c r="C4" s="24" t="s">
        <v>624</v>
      </c>
    </row>
    <row r="5" spans="1:3" ht="40" customHeight="1" x14ac:dyDescent="0.35">
      <c r="A5" s="7">
        <v>3</v>
      </c>
      <c r="B5" s="23" t="str">
        <f t="shared" si="0"/>
        <v>Tu desafio de Expresión es 3</v>
      </c>
      <c r="C5" s="24" t="s">
        <v>625</v>
      </c>
    </row>
    <row r="6" spans="1:3" ht="40" customHeight="1" x14ac:dyDescent="0.35">
      <c r="A6" s="7">
        <v>4</v>
      </c>
      <c r="B6" s="23" t="str">
        <f t="shared" si="0"/>
        <v>Tu desafio de Expresión es 4</v>
      </c>
      <c r="C6" s="24" t="s">
        <v>626</v>
      </c>
    </row>
    <row r="7" spans="1:3" ht="40" customHeight="1" x14ac:dyDescent="0.35">
      <c r="A7" s="7">
        <v>5</v>
      </c>
      <c r="B7" s="23" t="str">
        <f t="shared" si="0"/>
        <v>Tu desafio de Expresión es 5</v>
      </c>
      <c r="C7" s="24" t="s">
        <v>606</v>
      </c>
    </row>
    <row r="8" spans="1:3" ht="40" customHeight="1" x14ac:dyDescent="0.35">
      <c r="A8" s="7">
        <v>6</v>
      </c>
      <c r="B8" s="23" t="str">
        <f t="shared" si="0"/>
        <v>Tu desafio de Expresión es 6</v>
      </c>
      <c r="C8" s="24" t="s">
        <v>627</v>
      </c>
    </row>
    <row r="9" spans="1:3" ht="40" customHeight="1" x14ac:dyDescent="0.35">
      <c r="A9" s="7">
        <v>7</v>
      </c>
      <c r="B9" s="23" t="str">
        <f t="shared" si="0"/>
        <v>Tu desafio de Expresión es 7</v>
      </c>
      <c r="C9" s="24" t="s">
        <v>628</v>
      </c>
    </row>
    <row r="10" spans="1:3" ht="40" customHeight="1" x14ac:dyDescent="0.35">
      <c r="A10" s="7">
        <v>8</v>
      </c>
      <c r="B10" s="23" t="str">
        <f t="shared" si="0"/>
        <v>Tu desafio de Expresión es 8</v>
      </c>
      <c r="C10" s="24" t="s">
        <v>629</v>
      </c>
    </row>
    <row r="11" spans="1:3" ht="40" customHeight="1" x14ac:dyDescent="0.35">
      <c r="A11" s="7">
        <v>9</v>
      </c>
      <c r="B11" s="23" t="str">
        <f t="shared" si="0"/>
        <v>Tu desafio de Expresión es 9</v>
      </c>
      <c r="C11" s="24" t="s">
        <v>621</v>
      </c>
    </row>
    <row r="12" spans="1:3" ht="40" customHeight="1" thickBot="1" x14ac:dyDescent="0.4">
      <c r="A12" s="10">
        <v>0</v>
      </c>
      <c r="B12" s="25" t="str">
        <f t="shared" si="0"/>
        <v>Tu desafio de Expresión es 0</v>
      </c>
      <c r="C12" s="27" t="s">
        <v>611</v>
      </c>
    </row>
  </sheetData>
  <mergeCells count="1">
    <mergeCell ref="A1:C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3884-619C-4417-891E-96E31F763BF2}">
  <dimension ref="A1:C13"/>
  <sheetViews>
    <sheetView workbookViewId="0">
      <selection activeCell="D1" sqref="D1"/>
    </sheetView>
  </sheetViews>
  <sheetFormatPr baseColWidth="10" defaultRowHeight="14.5" x14ac:dyDescent="0.35"/>
  <sheetData>
    <row r="1" spans="1:3" ht="15" thickBot="1" x14ac:dyDescent="0.4">
      <c r="A1" s="18" t="s">
        <v>630</v>
      </c>
      <c r="B1" s="19"/>
      <c r="C1" s="20"/>
    </row>
    <row r="2" spans="1:3" ht="15" thickBot="1" x14ac:dyDescent="0.4">
      <c r="A2" s="1" t="s">
        <v>0</v>
      </c>
      <c r="B2" s="2" t="s">
        <v>1</v>
      </c>
      <c r="C2" s="3" t="s">
        <v>2</v>
      </c>
    </row>
    <row r="3" spans="1:3" ht="40" customHeight="1" x14ac:dyDescent="0.35">
      <c r="A3" s="4">
        <v>1</v>
      </c>
      <c r="B3" s="5" t="str">
        <f>"Tu numero de expersion es "&amp;A3</f>
        <v>Tu numero de expersion es 1</v>
      </c>
      <c r="C3" s="6" t="s">
        <v>631</v>
      </c>
    </row>
    <row r="4" spans="1:3" ht="40" customHeight="1" x14ac:dyDescent="0.35">
      <c r="A4" s="7">
        <v>2</v>
      </c>
      <c r="B4" s="8" t="str">
        <f t="shared" ref="B4:B13" si="0">"Tu numero de expersion es "&amp;A4</f>
        <v>Tu numero de expersion es 2</v>
      </c>
      <c r="C4" s="9" t="s">
        <v>632</v>
      </c>
    </row>
    <row r="5" spans="1:3" ht="40" customHeight="1" x14ac:dyDescent="0.35">
      <c r="A5" s="7">
        <v>3</v>
      </c>
      <c r="B5" s="8" t="str">
        <f t="shared" si="0"/>
        <v>Tu numero de expersion es 3</v>
      </c>
      <c r="C5" s="9" t="s">
        <v>633</v>
      </c>
    </row>
    <row r="6" spans="1:3" ht="40" customHeight="1" x14ac:dyDescent="0.35">
      <c r="A6" s="7">
        <v>4</v>
      </c>
      <c r="B6" s="8" t="str">
        <f t="shared" si="0"/>
        <v>Tu numero de expersion es 4</v>
      </c>
      <c r="C6" s="9" t="s">
        <v>634</v>
      </c>
    </row>
    <row r="7" spans="1:3" ht="40" customHeight="1" x14ac:dyDescent="0.35">
      <c r="A7" s="7">
        <v>5</v>
      </c>
      <c r="B7" s="8" t="str">
        <f t="shared" si="0"/>
        <v>Tu numero de expersion es 5</v>
      </c>
      <c r="C7" s="9" t="s">
        <v>635</v>
      </c>
    </row>
    <row r="8" spans="1:3" ht="40" customHeight="1" x14ac:dyDescent="0.35">
      <c r="A8" s="7">
        <v>6</v>
      </c>
      <c r="B8" s="8" t="str">
        <f t="shared" si="0"/>
        <v>Tu numero de expersion es 6</v>
      </c>
      <c r="C8" s="9" t="s">
        <v>636</v>
      </c>
    </row>
    <row r="9" spans="1:3" ht="40" customHeight="1" x14ac:dyDescent="0.35">
      <c r="A9" s="7">
        <v>7</v>
      </c>
      <c r="B9" s="8" t="str">
        <f t="shared" si="0"/>
        <v>Tu numero de expersion es 7</v>
      </c>
      <c r="C9" s="9" t="s">
        <v>637</v>
      </c>
    </row>
    <row r="10" spans="1:3" ht="40" customHeight="1" x14ac:dyDescent="0.35">
      <c r="A10" s="7">
        <v>8</v>
      </c>
      <c r="B10" s="8" t="str">
        <f t="shared" si="0"/>
        <v>Tu numero de expersion es 8</v>
      </c>
      <c r="C10" s="9" t="s">
        <v>638</v>
      </c>
    </row>
    <row r="11" spans="1:3" ht="40" customHeight="1" x14ac:dyDescent="0.35">
      <c r="A11" s="7">
        <v>9</v>
      </c>
      <c r="B11" s="8" t="str">
        <f t="shared" si="0"/>
        <v>Tu numero de expersion es 9</v>
      </c>
      <c r="C11" s="9" t="s">
        <v>639</v>
      </c>
    </row>
    <row r="12" spans="1:3" ht="40" customHeight="1" x14ac:dyDescent="0.35">
      <c r="A12" s="7">
        <v>11</v>
      </c>
      <c r="B12" s="8" t="str">
        <f t="shared" si="0"/>
        <v>Tu numero de expersion es 11</v>
      </c>
      <c r="C12" s="9" t="s">
        <v>640</v>
      </c>
    </row>
    <row r="13" spans="1:3" ht="40" customHeight="1" thickBot="1" x14ac:dyDescent="0.4">
      <c r="A13" s="10">
        <v>22</v>
      </c>
      <c r="B13" s="11" t="str">
        <f t="shared" si="0"/>
        <v>Tu numero de expersion es 22</v>
      </c>
      <c r="C13" s="12" t="s">
        <v>641</v>
      </c>
    </row>
  </sheetData>
  <mergeCells count="1">
    <mergeCell ref="A1:C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11DAD-B8C6-4A91-B400-C983FC713385}">
  <dimension ref="A1:C15"/>
  <sheetViews>
    <sheetView workbookViewId="0">
      <selection activeCell="A3" sqref="A3:XFD15"/>
    </sheetView>
  </sheetViews>
  <sheetFormatPr baseColWidth="10" defaultRowHeight="14.5" x14ac:dyDescent="0.35"/>
  <sheetData>
    <row r="1" spans="1:3" ht="15" thickBot="1" x14ac:dyDescent="0.4">
      <c r="A1" s="15" t="s">
        <v>642</v>
      </c>
      <c r="B1" s="16"/>
      <c r="C1" s="17"/>
    </row>
    <row r="2" spans="1:3" ht="15" thickBot="1" x14ac:dyDescent="0.4">
      <c r="A2" s="1" t="s">
        <v>0</v>
      </c>
      <c r="B2" s="2" t="s">
        <v>1</v>
      </c>
      <c r="C2" s="3" t="s">
        <v>2</v>
      </c>
    </row>
    <row r="3" spans="1:3" ht="40" customHeight="1" x14ac:dyDescent="0.35">
      <c r="A3" s="4">
        <v>1</v>
      </c>
      <c r="B3" s="5" t="s">
        <v>643</v>
      </c>
      <c r="C3" s="6" t="s">
        <v>644</v>
      </c>
    </row>
    <row r="4" spans="1:3" ht="40" customHeight="1" x14ac:dyDescent="0.35">
      <c r="A4" s="7">
        <v>2</v>
      </c>
      <c r="B4" s="8" t="s">
        <v>645</v>
      </c>
      <c r="C4" s="9" t="s">
        <v>646</v>
      </c>
    </row>
    <row r="5" spans="1:3" ht="40" customHeight="1" x14ac:dyDescent="0.35">
      <c r="A5" s="7">
        <v>3</v>
      </c>
      <c r="B5" s="8" t="s">
        <v>647</v>
      </c>
      <c r="C5" s="9" t="s">
        <v>648</v>
      </c>
    </row>
    <row r="6" spans="1:3" ht="40" customHeight="1" x14ac:dyDescent="0.35">
      <c r="A6" s="7">
        <v>4</v>
      </c>
      <c r="B6" s="8" t="s">
        <v>649</v>
      </c>
      <c r="C6" s="9" t="s">
        <v>650</v>
      </c>
    </row>
    <row r="7" spans="1:3" ht="40" customHeight="1" x14ac:dyDescent="0.35">
      <c r="A7" s="7">
        <v>5</v>
      </c>
      <c r="B7" s="8" t="s">
        <v>651</v>
      </c>
      <c r="C7" s="9" t="s">
        <v>652</v>
      </c>
    </row>
    <row r="8" spans="1:3" ht="40" customHeight="1" x14ac:dyDescent="0.35">
      <c r="A8" s="7">
        <v>6</v>
      </c>
      <c r="B8" s="8" t="s">
        <v>653</v>
      </c>
      <c r="C8" s="9" t="s">
        <v>654</v>
      </c>
    </row>
    <row r="9" spans="1:3" ht="40" customHeight="1" x14ac:dyDescent="0.35">
      <c r="A9" s="7">
        <v>7</v>
      </c>
      <c r="B9" s="8" t="s">
        <v>655</v>
      </c>
      <c r="C9" s="9" t="s">
        <v>656</v>
      </c>
    </row>
    <row r="10" spans="1:3" ht="40" customHeight="1" x14ac:dyDescent="0.35">
      <c r="A10" s="7">
        <v>8</v>
      </c>
      <c r="B10" s="8" t="s">
        <v>657</v>
      </c>
      <c r="C10" s="9" t="s">
        <v>658</v>
      </c>
    </row>
    <row r="11" spans="1:3" ht="40" customHeight="1" x14ac:dyDescent="0.35">
      <c r="A11" s="7">
        <v>9</v>
      </c>
      <c r="B11" s="8" t="s">
        <v>659</v>
      </c>
      <c r="C11" s="9" t="s">
        <v>660</v>
      </c>
    </row>
    <row r="12" spans="1:3" ht="40" customHeight="1" x14ac:dyDescent="0.35">
      <c r="A12" s="7">
        <v>11</v>
      </c>
      <c r="B12" s="8" t="s">
        <v>661</v>
      </c>
      <c r="C12" s="9" t="s">
        <v>662</v>
      </c>
    </row>
    <row r="13" spans="1:3" ht="40" customHeight="1" x14ac:dyDescent="0.35">
      <c r="A13" s="7">
        <v>22</v>
      </c>
      <c r="B13" s="8" t="s">
        <v>663</v>
      </c>
      <c r="C13" s="9" t="s">
        <v>664</v>
      </c>
    </row>
    <row r="14" spans="1:3" ht="40" customHeight="1" x14ac:dyDescent="0.35">
      <c r="A14" s="7">
        <v>33</v>
      </c>
      <c r="B14" s="8" t="s">
        <v>665</v>
      </c>
      <c r="C14" s="9" t="s">
        <v>666</v>
      </c>
    </row>
    <row r="15" spans="1:3" ht="40" customHeight="1" thickBot="1" x14ac:dyDescent="0.4">
      <c r="A15" s="10">
        <v>44</v>
      </c>
      <c r="B15" s="11" t="s">
        <v>667</v>
      </c>
      <c r="C15" s="12" t="s">
        <v>668</v>
      </c>
    </row>
  </sheetData>
  <mergeCells count="1">
    <mergeCell ref="A1:C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77517-880D-4D21-9D21-2C2DE203EF01}">
  <dimension ref="A1:B13"/>
  <sheetViews>
    <sheetView workbookViewId="0">
      <selection activeCell="D5" sqref="D5"/>
    </sheetView>
  </sheetViews>
  <sheetFormatPr baseColWidth="10" defaultRowHeight="14.5" x14ac:dyDescent="0.35"/>
  <sheetData>
    <row r="1" spans="1:2" ht="15" thickBot="1" x14ac:dyDescent="0.4">
      <c r="A1" s="15" t="s">
        <v>669</v>
      </c>
      <c r="B1" s="17"/>
    </row>
    <row r="2" spans="1:2" ht="15" thickBot="1" x14ac:dyDescent="0.4">
      <c r="A2" s="1" t="s">
        <v>0</v>
      </c>
      <c r="B2" s="3" t="s">
        <v>2</v>
      </c>
    </row>
    <row r="3" spans="1:2" x14ac:dyDescent="0.35">
      <c r="A3" s="4">
        <v>1</v>
      </c>
      <c r="B3" s="22" t="s">
        <v>670</v>
      </c>
    </row>
    <row r="4" spans="1:2" x14ac:dyDescent="0.35">
      <c r="A4" s="7">
        <v>2</v>
      </c>
      <c r="B4" s="24" t="s">
        <v>671</v>
      </c>
    </row>
    <row r="5" spans="1:2" x14ac:dyDescent="0.35">
      <c r="A5" s="7">
        <v>3</v>
      </c>
      <c r="B5" s="24" t="s">
        <v>672</v>
      </c>
    </row>
    <row r="6" spans="1:2" x14ac:dyDescent="0.35">
      <c r="A6" s="7">
        <v>4</v>
      </c>
      <c r="B6" s="24" t="s">
        <v>673</v>
      </c>
    </row>
    <row r="7" spans="1:2" x14ac:dyDescent="0.35">
      <c r="A7" s="7">
        <v>5</v>
      </c>
      <c r="B7" s="24" t="s">
        <v>674</v>
      </c>
    </row>
    <row r="8" spans="1:2" x14ac:dyDescent="0.35">
      <c r="A8" s="7">
        <v>6</v>
      </c>
      <c r="B8" s="24" t="s">
        <v>675</v>
      </c>
    </row>
    <row r="9" spans="1:2" x14ac:dyDescent="0.35">
      <c r="A9" s="7">
        <v>7</v>
      </c>
      <c r="B9" s="24" t="s">
        <v>676</v>
      </c>
    </row>
    <row r="10" spans="1:2" x14ac:dyDescent="0.35">
      <c r="A10" s="7">
        <v>8</v>
      </c>
      <c r="B10" s="24" t="s">
        <v>677</v>
      </c>
    </row>
    <row r="11" spans="1:2" x14ac:dyDescent="0.35">
      <c r="A11" s="7">
        <v>9</v>
      </c>
      <c r="B11" s="24" t="s">
        <v>678</v>
      </c>
    </row>
    <row r="12" spans="1:2" x14ac:dyDescent="0.35">
      <c r="A12" s="7">
        <v>11</v>
      </c>
      <c r="B12" s="23" t="s">
        <v>679</v>
      </c>
    </row>
    <row r="13" spans="1:2" ht="15" thickBot="1" x14ac:dyDescent="0.4">
      <c r="A13" s="10">
        <v>22</v>
      </c>
      <c r="B13" s="25" t="s">
        <v>680</v>
      </c>
    </row>
  </sheetData>
  <mergeCells count="1">
    <mergeCell ref="A1:B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1FEB8-086A-4476-BF8C-DA0EE9E6FF6E}">
  <dimension ref="A1:B13"/>
  <sheetViews>
    <sheetView workbookViewId="0">
      <selection activeCell="A3" sqref="A3"/>
    </sheetView>
  </sheetViews>
  <sheetFormatPr baseColWidth="10" defaultRowHeight="14.5" x14ac:dyDescent="0.35"/>
  <sheetData>
    <row r="1" spans="1:2" ht="15" thickBot="1" x14ac:dyDescent="0.4">
      <c r="A1" s="15" t="s">
        <v>681</v>
      </c>
      <c r="B1" s="17"/>
    </row>
    <row r="2" spans="1:2" ht="15" thickBot="1" x14ac:dyDescent="0.4">
      <c r="A2" s="1" t="s">
        <v>0</v>
      </c>
      <c r="B2" s="3" t="s">
        <v>2</v>
      </c>
    </row>
    <row r="3" spans="1:2" ht="15" thickBot="1" x14ac:dyDescent="0.4">
      <c r="A3" s="4">
        <v>1</v>
      </c>
      <c r="B3" s="25" t="s">
        <v>682</v>
      </c>
    </row>
    <row r="4" spans="1:2" ht="15" thickBot="1" x14ac:dyDescent="0.4">
      <c r="A4" s="7">
        <v>2</v>
      </c>
      <c r="B4" s="25" t="s">
        <v>683</v>
      </c>
    </row>
    <row r="5" spans="1:2" ht="15" thickBot="1" x14ac:dyDescent="0.4">
      <c r="A5" s="7">
        <v>3</v>
      </c>
      <c r="B5" s="25" t="s">
        <v>684</v>
      </c>
    </row>
    <row r="6" spans="1:2" ht="15" thickBot="1" x14ac:dyDescent="0.4">
      <c r="A6" s="7">
        <v>4</v>
      </c>
      <c r="B6" s="25" t="s">
        <v>685</v>
      </c>
    </row>
    <row r="7" spans="1:2" ht="15" thickBot="1" x14ac:dyDescent="0.4">
      <c r="A7" s="7">
        <v>5</v>
      </c>
      <c r="B7" s="25" t="s">
        <v>686</v>
      </c>
    </row>
    <row r="8" spans="1:2" ht="15" thickBot="1" x14ac:dyDescent="0.4">
      <c r="A8" s="7">
        <v>6</v>
      </c>
      <c r="B8" s="25" t="s">
        <v>687</v>
      </c>
    </row>
    <row r="9" spans="1:2" ht="15" thickBot="1" x14ac:dyDescent="0.4">
      <c r="A9" s="7">
        <v>7</v>
      </c>
      <c r="B9" s="25" t="s">
        <v>688</v>
      </c>
    </row>
    <row r="10" spans="1:2" ht="15" thickBot="1" x14ac:dyDescent="0.4">
      <c r="A10" s="7">
        <v>8</v>
      </c>
      <c r="B10" s="25" t="s">
        <v>689</v>
      </c>
    </row>
    <row r="11" spans="1:2" ht="15" thickBot="1" x14ac:dyDescent="0.4">
      <c r="A11" s="7">
        <v>9</v>
      </c>
      <c r="B11" s="25" t="s">
        <v>690</v>
      </c>
    </row>
    <row r="12" spans="1:2" ht="15" thickBot="1" x14ac:dyDescent="0.4">
      <c r="A12" s="7">
        <v>11</v>
      </c>
      <c r="B12" s="25" t="s">
        <v>691</v>
      </c>
    </row>
    <row r="13" spans="1:2" ht="15" thickBot="1" x14ac:dyDescent="0.4">
      <c r="A13" s="10">
        <v>22</v>
      </c>
      <c r="B13" s="25" t="s">
        <v>692</v>
      </c>
    </row>
  </sheetData>
  <mergeCells count="1">
    <mergeCell ref="A1:B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F9A9F-5035-45AD-8BBC-CCF96FD5680D}">
  <dimension ref="A1:C13"/>
  <sheetViews>
    <sheetView workbookViewId="0">
      <selection activeCell="G15" sqref="G15"/>
    </sheetView>
  </sheetViews>
  <sheetFormatPr baseColWidth="10" defaultRowHeight="14.5" x14ac:dyDescent="0.35"/>
  <sheetData>
    <row r="1" spans="1:3" ht="15" thickBot="1" x14ac:dyDescent="0.4">
      <c r="A1" s="15" t="s">
        <v>693</v>
      </c>
      <c r="B1" s="16"/>
      <c r="C1" s="17"/>
    </row>
    <row r="2" spans="1:3" ht="15" thickBot="1" x14ac:dyDescent="0.4">
      <c r="A2" s="1" t="s">
        <v>0</v>
      </c>
      <c r="B2" s="2" t="s">
        <v>1</v>
      </c>
      <c r="C2" s="3" t="s">
        <v>2</v>
      </c>
    </row>
    <row r="3" spans="1:3" x14ac:dyDescent="0.35">
      <c r="A3" s="4">
        <v>1</v>
      </c>
      <c r="B3" s="28" t="str">
        <f>"Tu primer etapa de vida es "&amp;A3</f>
        <v>Tu primer etapa de vida es 1</v>
      </c>
      <c r="C3" s="29" t="s">
        <v>694</v>
      </c>
    </row>
    <row r="4" spans="1:3" x14ac:dyDescent="0.35">
      <c r="A4" s="7">
        <v>2</v>
      </c>
      <c r="B4" s="30" t="str">
        <f t="shared" ref="B4:B13" si="0">"Tu primer etapa de vida es "&amp;A4</f>
        <v>Tu primer etapa de vida es 2</v>
      </c>
      <c r="C4" s="31" t="s">
        <v>695</v>
      </c>
    </row>
    <row r="5" spans="1:3" x14ac:dyDescent="0.35">
      <c r="A5" s="7">
        <v>3</v>
      </c>
      <c r="B5" s="30" t="str">
        <f t="shared" si="0"/>
        <v>Tu primer etapa de vida es 3</v>
      </c>
      <c r="C5" s="31" t="s">
        <v>696</v>
      </c>
    </row>
    <row r="6" spans="1:3" x14ac:dyDescent="0.35">
      <c r="A6" s="7">
        <v>4</v>
      </c>
      <c r="B6" s="30" t="str">
        <f t="shared" si="0"/>
        <v>Tu primer etapa de vida es 4</v>
      </c>
      <c r="C6" s="31" t="s">
        <v>697</v>
      </c>
    </row>
    <row r="7" spans="1:3" x14ac:dyDescent="0.35">
      <c r="A7" s="7">
        <v>5</v>
      </c>
      <c r="B7" s="30" t="str">
        <f t="shared" si="0"/>
        <v>Tu primer etapa de vida es 5</v>
      </c>
      <c r="C7" s="31" t="s">
        <v>698</v>
      </c>
    </row>
    <row r="8" spans="1:3" x14ac:dyDescent="0.35">
      <c r="A8" s="7">
        <v>6</v>
      </c>
      <c r="B8" s="30" t="str">
        <f t="shared" si="0"/>
        <v>Tu primer etapa de vida es 6</v>
      </c>
      <c r="C8" s="30" t="s">
        <v>699</v>
      </c>
    </row>
    <row r="9" spans="1:3" x14ac:dyDescent="0.35">
      <c r="A9" s="7">
        <v>7</v>
      </c>
      <c r="B9" s="30" t="str">
        <f t="shared" si="0"/>
        <v>Tu primer etapa de vida es 7</v>
      </c>
      <c r="C9" s="31" t="s">
        <v>700</v>
      </c>
    </row>
    <row r="10" spans="1:3" x14ac:dyDescent="0.35">
      <c r="A10" s="7">
        <v>8</v>
      </c>
      <c r="B10" s="30" t="str">
        <f t="shared" si="0"/>
        <v>Tu primer etapa de vida es 8</v>
      </c>
      <c r="C10" s="31" t="s">
        <v>701</v>
      </c>
    </row>
    <row r="11" spans="1:3" x14ac:dyDescent="0.35">
      <c r="A11" s="7">
        <v>9</v>
      </c>
      <c r="B11" s="30" t="str">
        <f t="shared" si="0"/>
        <v>Tu primer etapa de vida es 9</v>
      </c>
      <c r="C11" s="31" t="s">
        <v>702</v>
      </c>
    </row>
    <row r="12" spans="1:3" x14ac:dyDescent="0.35">
      <c r="A12" s="7">
        <v>11</v>
      </c>
      <c r="B12" s="30" t="str">
        <f t="shared" si="0"/>
        <v>Tu primer etapa de vida es 11</v>
      </c>
      <c r="C12" s="30" t="s">
        <v>703</v>
      </c>
    </row>
    <row r="13" spans="1:3" ht="15" thickBot="1" x14ac:dyDescent="0.4">
      <c r="A13" s="10">
        <v>22</v>
      </c>
      <c r="B13" s="32" t="str">
        <f t="shared" si="0"/>
        <v>Tu primer etapa de vida es 22</v>
      </c>
      <c r="C13" s="33" t="s">
        <v>704</v>
      </c>
    </row>
  </sheetData>
  <mergeCells count="1">
    <mergeCell ref="A1:C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A18F9-654D-4797-9FBB-B5D177182DE7}">
  <dimension ref="A1:C13"/>
  <sheetViews>
    <sheetView workbookViewId="0">
      <selection sqref="A1:C13"/>
    </sheetView>
  </sheetViews>
  <sheetFormatPr baseColWidth="10" defaultRowHeight="14.5" x14ac:dyDescent="0.35"/>
  <sheetData>
    <row r="1" spans="1:3" ht="15" thickBot="1" x14ac:dyDescent="0.4">
      <c r="A1" s="15" t="s">
        <v>705</v>
      </c>
      <c r="B1" s="16"/>
      <c r="C1" s="17"/>
    </row>
    <row r="2" spans="1:3" ht="15" thickBot="1" x14ac:dyDescent="0.4">
      <c r="A2" s="1" t="s">
        <v>0</v>
      </c>
      <c r="B2" s="2" t="s">
        <v>1</v>
      </c>
      <c r="C2" s="3" t="s">
        <v>2</v>
      </c>
    </row>
    <row r="3" spans="1:3" x14ac:dyDescent="0.35">
      <c r="A3" s="4">
        <v>1</v>
      </c>
      <c r="B3" s="28" t="str">
        <f>"Tu segunda etapa de vida es "&amp;A3</f>
        <v>Tu segunda etapa de vida es 1</v>
      </c>
      <c r="C3" s="29" t="s">
        <v>706</v>
      </c>
    </row>
    <row r="4" spans="1:3" x14ac:dyDescent="0.35">
      <c r="A4" s="7">
        <v>2</v>
      </c>
      <c r="B4" s="30" t="str">
        <f t="shared" ref="B4:B13" si="0">"Tu segunda etapa de vida es "&amp;A4</f>
        <v>Tu segunda etapa de vida es 2</v>
      </c>
      <c r="C4" s="31" t="s">
        <v>707</v>
      </c>
    </row>
    <row r="5" spans="1:3" x14ac:dyDescent="0.35">
      <c r="A5" s="7">
        <v>3</v>
      </c>
      <c r="B5" s="30" t="str">
        <f t="shared" si="0"/>
        <v>Tu segunda etapa de vida es 3</v>
      </c>
      <c r="C5" s="31" t="s">
        <v>708</v>
      </c>
    </row>
    <row r="6" spans="1:3" x14ac:dyDescent="0.35">
      <c r="A6" s="7">
        <v>4</v>
      </c>
      <c r="B6" s="30" t="str">
        <f t="shared" si="0"/>
        <v>Tu segunda etapa de vida es 4</v>
      </c>
      <c r="C6" s="31" t="s">
        <v>709</v>
      </c>
    </row>
    <row r="7" spans="1:3" x14ac:dyDescent="0.35">
      <c r="A7" s="7">
        <v>5</v>
      </c>
      <c r="B7" s="30" t="str">
        <f t="shared" si="0"/>
        <v>Tu segunda etapa de vida es 5</v>
      </c>
      <c r="C7" s="31" t="s">
        <v>710</v>
      </c>
    </row>
    <row r="8" spans="1:3" x14ac:dyDescent="0.35">
      <c r="A8" s="7">
        <v>6</v>
      </c>
      <c r="B8" s="30" t="str">
        <f t="shared" si="0"/>
        <v>Tu segunda etapa de vida es 6</v>
      </c>
      <c r="C8" s="31" t="s">
        <v>711</v>
      </c>
    </row>
    <row r="9" spans="1:3" x14ac:dyDescent="0.35">
      <c r="A9" s="7">
        <v>7</v>
      </c>
      <c r="B9" s="30" t="str">
        <f t="shared" si="0"/>
        <v>Tu segunda etapa de vida es 7</v>
      </c>
      <c r="C9" s="31" t="s">
        <v>712</v>
      </c>
    </row>
    <row r="10" spans="1:3" x14ac:dyDescent="0.35">
      <c r="A10" s="7">
        <v>8</v>
      </c>
      <c r="B10" s="30" t="str">
        <f t="shared" si="0"/>
        <v>Tu segunda etapa de vida es 8</v>
      </c>
      <c r="C10" s="31" t="s">
        <v>713</v>
      </c>
    </row>
    <row r="11" spans="1:3" x14ac:dyDescent="0.35">
      <c r="A11" s="7">
        <v>9</v>
      </c>
      <c r="B11" s="30" t="str">
        <f t="shared" si="0"/>
        <v>Tu segunda etapa de vida es 9</v>
      </c>
      <c r="C11" s="31" t="s">
        <v>714</v>
      </c>
    </row>
    <row r="12" spans="1:3" x14ac:dyDescent="0.35">
      <c r="A12" s="7">
        <v>11</v>
      </c>
      <c r="B12" s="30" t="str">
        <f t="shared" si="0"/>
        <v>Tu segunda etapa de vida es 11</v>
      </c>
      <c r="C12" s="31" t="s">
        <v>715</v>
      </c>
    </row>
    <row r="13" spans="1:3" ht="15" thickBot="1" x14ac:dyDescent="0.4">
      <c r="A13" s="10">
        <v>22</v>
      </c>
      <c r="B13" s="32" t="str">
        <f t="shared" si="0"/>
        <v>Tu segunda etapa de vida es 22</v>
      </c>
      <c r="C13" s="33" t="s">
        <v>716</v>
      </c>
    </row>
  </sheetData>
  <mergeCells count="1">
    <mergeCell ref="A1:C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59F02-7BE8-499A-B8D1-881275912ACA}">
  <dimension ref="A1:C13"/>
  <sheetViews>
    <sheetView workbookViewId="0">
      <selection sqref="A1:C13"/>
    </sheetView>
  </sheetViews>
  <sheetFormatPr baseColWidth="10" defaultRowHeight="14.5" x14ac:dyDescent="0.35"/>
  <sheetData>
    <row r="1" spans="1:3" ht="15" thickBot="1" x14ac:dyDescent="0.4">
      <c r="A1" s="15" t="s">
        <v>717</v>
      </c>
      <c r="B1" s="16"/>
      <c r="C1" s="17"/>
    </row>
    <row r="2" spans="1:3" ht="15" thickBot="1" x14ac:dyDescent="0.4">
      <c r="A2" s="1" t="s">
        <v>0</v>
      </c>
      <c r="B2" s="2" t="s">
        <v>1</v>
      </c>
      <c r="C2" s="3" t="s">
        <v>2</v>
      </c>
    </row>
    <row r="3" spans="1:3" x14ac:dyDescent="0.35">
      <c r="A3" s="4">
        <v>1</v>
      </c>
      <c r="B3" s="28" t="str">
        <f>"Tu tercer etapa de vida es "&amp;A3</f>
        <v>Tu tercer etapa de vida es 1</v>
      </c>
      <c r="C3" s="29" t="s">
        <v>706</v>
      </c>
    </row>
    <row r="4" spans="1:3" x14ac:dyDescent="0.35">
      <c r="A4" s="7">
        <v>2</v>
      </c>
      <c r="B4" s="30" t="str">
        <f t="shared" ref="B4:B13" si="0">"Tu tercer etapa de vida es "&amp;A4</f>
        <v>Tu tercer etapa de vida es 2</v>
      </c>
      <c r="C4" s="31" t="s">
        <v>707</v>
      </c>
    </row>
    <row r="5" spans="1:3" x14ac:dyDescent="0.35">
      <c r="A5" s="7">
        <v>3</v>
      </c>
      <c r="B5" s="30" t="str">
        <f t="shared" si="0"/>
        <v>Tu tercer etapa de vida es 3</v>
      </c>
      <c r="C5" s="31" t="s">
        <v>708</v>
      </c>
    </row>
    <row r="6" spans="1:3" x14ac:dyDescent="0.35">
      <c r="A6" s="7">
        <v>4</v>
      </c>
      <c r="B6" s="30" t="str">
        <f t="shared" si="0"/>
        <v>Tu tercer etapa de vida es 4</v>
      </c>
      <c r="C6" s="31" t="s">
        <v>709</v>
      </c>
    </row>
    <row r="7" spans="1:3" x14ac:dyDescent="0.35">
      <c r="A7" s="7">
        <v>5</v>
      </c>
      <c r="B7" s="30" t="str">
        <f t="shared" si="0"/>
        <v>Tu tercer etapa de vida es 5</v>
      </c>
      <c r="C7" s="31" t="s">
        <v>710</v>
      </c>
    </row>
    <row r="8" spans="1:3" x14ac:dyDescent="0.35">
      <c r="A8" s="7">
        <v>6</v>
      </c>
      <c r="B8" s="30" t="str">
        <f t="shared" si="0"/>
        <v>Tu tercer etapa de vida es 6</v>
      </c>
      <c r="C8" s="31" t="s">
        <v>711</v>
      </c>
    </row>
    <row r="9" spans="1:3" x14ac:dyDescent="0.35">
      <c r="A9" s="7">
        <v>7</v>
      </c>
      <c r="B9" s="30" t="str">
        <f t="shared" si="0"/>
        <v>Tu tercer etapa de vida es 7</v>
      </c>
      <c r="C9" s="31" t="s">
        <v>712</v>
      </c>
    </row>
    <row r="10" spans="1:3" x14ac:dyDescent="0.35">
      <c r="A10" s="7">
        <v>8</v>
      </c>
      <c r="B10" s="30" t="str">
        <f t="shared" si="0"/>
        <v>Tu tercer etapa de vida es 8</v>
      </c>
      <c r="C10" s="31" t="s">
        <v>713</v>
      </c>
    </row>
    <row r="11" spans="1:3" x14ac:dyDescent="0.35">
      <c r="A11" s="7">
        <v>9</v>
      </c>
      <c r="B11" s="30" t="str">
        <f t="shared" si="0"/>
        <v>Tu tercer etapa de vida es 9</v>
      </c>
      <c r="C11" s="31" t="s">
        <v>718</v>
      </c>
    </row>
    <row r="12" spans="1:3" x14ac:dyDescent="0.35">
      <c r="A12" s="7">
        <v>11</v>
      </c>
      <c r="B12" s="30" t="str">
        <f t="shared" si="0"/>
        <v>Tu tercer etapa de vida es 11</v>
      </c>
      <c r="C12" s="31" t="s">
        <v>715</v>
      </c>
    </row>
    <row r="13" spans="1:3" ht="15" thickBot="1" x14ac:dyDescent="0.4">
      <c r="A13" s="10">
        <v>22</v>
      </c>
      <c r="B13" s="32" t="str">
        <f t="shared" si="0"/>
        <v>Tu tercer etapa de vida es 22</v>
      </c>
      <c r="C13" s="33" t="s">
        <v>716</v>
      </c>
    </row>
  </sheetData>
  <mergeCells count="1">
    <mergeCell ref="A1:C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2BF3D-5325-4BA4-9F88-DE924D0240A5}">
  <dimension ref="A1:C13"/>
  <sheetViews>
    <sheetView workbookViewId="0">
      <selection sqref="A1:C13"/>
    </sheetView>
  </sheetViews>
  <sheetFormatPr baseColWidth="10" defaultRowHeight="14.5" x14ac:dyDescent="0.35"/>
  <sheetData>
    <row r="1" spans="1:3" ht="15" thickBot="1" x14ac:dyDescent="0.4">
      <c r="A1" s="15" t="s">
        <v>719</v>
      </c>
      <c r="B1" s="16"/>
      <c r="C1" s="17"/>
    </row>
    <row r="2" spans="1:3" ht="15" thickBot="1" x14ac:dyDescent="0.4">
      <c r="A2" s="1" t="s">
        <v>0</v>
      </c>
      <c r="B2" s="2" t="s">
        <v>1</v>
      </c>
      <c r="C2" s="3" t="s">
        <v>2</v>
      </c>
    </row>
    <row r="3" spans="1:3" x14ac:dyDescent="0.35">
      <c r="A3" s="4">
        <v>1</v>
      </c>
      <c r="B3" s="28" t="str">
        <f>"Tu cuarta etapa de vida es "&amp;A3</f>
        <v>Tu cuarta etapa de vida es 1</v>
      </c>
      <c r="C3" s="29" t="s">
        <v>720</v>
      </c>
    </row>
    <row r="4" spans="1:3" x14ac:dyDescent="0.35">
      <c r="A4" s="7">
        <v>2</v>
      </c>
      <c r="B4" s="30" t="str">
        <f t="shared" ref="B4:B13" si="0">"Tu cuarta etapa de vida es "&amp;A4</f>
        <v>Tu cuarta etapa de vida es 2</v>
      </c>
      <c r="C4" s="31" t="s">
        <v>707</v>
      </c>
    </row>
    <row r="5" spans="1:3" x14ac:dyDescent="0.35">
      <c r="A5" s="7">
        <v>3</v>
      </c>
      <c r="B5" s="30" t="str">
        <f t="shared" si="0"/>
        <v>Tu cuarta etapa de vida es 3</v>
      </c>
      <c r="C5" s="31" t="s">
        <v>721</v>
      </c>
    </row>
    <row r="6" spans="1:3" x14ac:dyDescent="0.35">
      <c r="A6" s="7">
        <v>4</v>
      </c>
      <c r="B6" s="30" t="str">
        <f t="shared" si="0"/>
        <v>Tu cuarta etapa de vida es 4</v>
      </c>
      <c r="C6" s="31" t="s">
        <v>722</v>
      </c>
    </row>
    <row r="7" spans="1:3" x14ac:dyDescent="0.35">
      <c r="A7" s="7">
        <v>5</v>
      </c>
      <c r="B7" s="30" t="str">
        <f t="shared" si="0"/>
        <v>Tu cuarta etapa de vida es 5</v>
      </c>
      <c r="C7" s="31" t="s">
        <v>723</v>
      </c>
    </row>
    <row r="8" spans="1:3" x14ac:dyDescent="0.35">
      <c r="A8" s="7">
        <v>6</v>
      </c>
      <c r="B8" s="30" t="str">
        <f t="shared" si="0"/>
        <v>Tu cuarta etapa de vida es 6</v>
      </c>
      <c r="C8" s="31" t="s">
        <v>711</v>
      </c>
    </row>
    <row r="9" spans="1:3" x14ac:dyDescent="0.35">
      <c r="A9" s="7">
        <v>7</v>
      </c>
      <c r="B9" s="30" t="str">
        <f t="shared" si="0"/>
        <v>Tu cuarta etapa de vida es 7</v>
      </c>
      <c r="C9" s="31" t="s">
        <v>724</v>
      </c>
    </row>
    <row r="10" spans="1:3" x14ac:dyDescent="0.35">
      <c r="A10" s="7">
        <v>8</v>
      </c>
      <c r="B10" s="30" t="str">
        <f t="shared" si="0"/>
        <v>Tu cuarta etapa de vida es 8</v>
      </c>
      <c r="C10" s="31" t="s">
        <v>725</v>
      </c>
    </row>
    <row r="11" spans="1:3" x14ac:dyDescent="0.35">
      <c r="A11" s="7">
        <v>9</v>
      </c>
      <c r="B11" s="30" t="str">
        <f t="shared" si="0"/>
        <v>Tu cuarta etapa de vida es 9</v>
      </c>
      <c r="C11" s="31" t="s">
        <v>726</v>
      </c>
    </row>
    <row r="12" spans="1:3" x14ac:dyDescent="0.35">
      <c r="A12" s="7">
        <v>11</v>
      </c>
      <c r="B12" s="30" t="str">
        <f t="shared" si="0"/>
        <v>Tu cuarta etapa de vida es 11</v>
      </c>
      <c r="C12" s="31" t="s">
        <v>727</v>
      </c>
    </row>
    <row r="13" spans="1:3" ht="15" thickBot="1" x14ac:dyDescent="0.4">
      <c r="A13" s="10">
        <v>22</v>
      </c>
      <c r="B13" s="32" t="str">
        <f t="shared" si="0"/>
        <v>Tu cuarta etapa de vida es 22</v>
      </c>
      <c r="C13" s="33" t="s">
        <v>716</v>
      </c>
    </row>
  </sheetData>
  <mergeCells count="1">
    <mergeCell ref="A1:C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B886-B407-4DE9-9268-5F370256E780}">
  <dimension ref="A1:C13"/>
  <sheetViews>
    <sheetView workbookViewId="0">
      <selection activeCell="D3" sqref="D3"/>
    </sheetView>
  </sheetViews>
  <sheetFormatPr baseColWidth="10" defaultRowHeight="14.5" x14ac:dyDescent="0.35"/>
  <sheetData>
    <row r="1" spans="1:3" ht="15" thickBot="1" x14ac:dyDescent="0.4">
      <c r="A1" s="15" t="s">
        <v>728</v>
      </c>
      <c r="B1" s="16"/>
      <c r="C1" s="17"/>
    </row>
    <row r="2" spans="1:3" ht="15" thickBot="1" x14ac:dyDescent="0.4">
      <c r="A2" s="1" t="s">
        <v>0</v>
      </c>
      <c r="B2" s="2" t="s">
        <v>1</v>
      </c>
      <c r="C2" s="3" t="s">
        <v>2</v>
      </c>
    </row>
    <row r="3" spans="1:3" ht="40" customHeight="1" x14ac:dyDescent="0.35">
      <c r="A3" s="4">
        <v>1</v>
      </c>
      <c r="B3" s="28" t="str">
        <f>A$141&amp;"será un mes "&amp;A3</f>
        <v>será un mes 1</v>
      </c>
      <c r="C3" s="29" t="s">
        <v>729</v>
      </c>
    </row>
    <row r="4" spans="1:3" ht="40" customHeight="1" x14ac:dyDescent="0.35">
      <c r="A4" s="7">
        <v>2</v>
      </c>
      <c r="B4" s="30" t="str">
        <f t="shared" ref="B4:B13" si="0">A$141&amp;"será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1ED8-4E2C-4FC4-B588-EF1447AA5697}">
  <dimension ref="A1:C13"/>
  <sheetViews>
    <sheetView workbookViewId="0">
      <selection activeCell="F8" sqref="F8"/>
    </sheetView>
  </sheetViews>
  <sheetFormatPr baseColWidth="10" defaultRowHeight="14.5" x14ac:dyDescent="0.35"/>
  <sheetData>
    <row r="1" spans="1:3" ht="15" thickBot="1" x14ac:dyDescent="0.4">
      <c r="A1" s="15" t="s">
        <v>740</v>
      </c>
      <c r="B1" s="16"/>
      <c r="C1" s="17"/>
    </row>
    <row r="2" spans="1:3" ht="15" thickBot="1" x14ac:dyDescent="0.4">
      <c r="A2" s="1" t="s">
        <v>0</v>
      </c>
      <c r="B2" s="2" t="s">
        <v>1</v>
      </c>
      <c r="C2" s="3" t="s">
        <v>2</v>
      </c>
    </row>
    <row r="3" spans="1:3" ht="40" customHeight="1" x14ac:dyDescent="0.35">
      <c r="A3" s="4">
        <v>1</v>
      </c>
      <c r="B3" s="28" t="str">
        <f>A$141&amp;"será un mes "&amp;A3</f>
        <v>será un mes 1</v>
      </c>
      <c r="C3" s="29" t="s">
        <v>729</v>
      </c>
    </row>
    <row r="4" spans="1:3" ht="40" customHeight="1" x14ac:dyDescent="0.35">
      <c r="A4" s="7">
        <v>2</v>
      </c>
      <c r="B4" s="30" t="str">
        <f t="shared" ref="B4:B13" si="0">A$141&amp;"será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CC731-4240-414C-8E24-3F49FBC8AC96}">
  <dimension ref="A1:C13"/>
  <sheetViews>
    <sheetView workbookViewId="0">
      <selection activeCell="J10" sqref="J10"/>
    </sheetView>
  </sheetViews>
  <sheetFormatPr baseColWidth="10" defaultRowHeight="14.5" x14ac:dyDescent="0.35"/>
  <sheetData>
    <row r="1" spans="1:3" ht="15" thickBot="1" x14ac:dyDescent="0.4">
      <c r="A1" s="15" t="s">
        <v>741</v>
      </c>
      <c r="B1" s="16"/>
      <c r="C1" s="17"/>
    </row>
    <row r="2" spans="1:3" ht="15" thickBot="1" x14ac:dyDescent="0.4">
      <c r="A2" s="1" t="s">
        <v>0</v>
      </c>
      <c r="B2" s="2" t="s">
        <v>1</v>
      </c>
      <c r="C2" s="3" t="s">
        <v>2</v>
      </c>
    </row>
    <row r="3" spans="1:3" ht="40" customHeight="1" x14ac:dyDescent="0.35">
      <c r="A3" s="4">
        <v>1</v>
      </c>
      <c r="B3" s="28" t="str">
        <f>A$141&amp;"será un mes "&amp;A3</f>
        <v>será un mes 1</v>
      </c>
      <c r="C3" s="29" t="s">
        <v>729</v>
      </c>
    </row>
    <row r="4" spans="1:3" ht="40" customHeight="1" x14ac:dyDescent="0.35">
      <c r="A4" s="7">
        <v>2</v>
      </c>
      <c r="B4" s="30" t="str">
        <f t="shared" ref="B4:B13" si="0">A$141&amp;"será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BA9AB-E984-473E-81D2-5D6B8EFAA902}">
  <dimension ref="A1:C13"/>
  <sheetViews>
    <sheetView workbookViewId="0">
      <selection activeCell="D1" sqref="D1"/>
    </sheetView>
  </sheetViews>
  <sheetFormatPr baseColWidth="10" defaultRowHeight="14.5" x14ac:dyDescent="0.35"/>
  <sheetData>
    <row r="1" spans="1:3" ht="15" thickBot="1" x14ac:dyDescent="0.4">
      <c r="A1" s="15" t="s">
        <v>743</v>
      </c>
      <c r="B1" s="16"/>
      <c r="C1" s="17"/>
    </row>
    <row r="2" spans="1:3" ht="15" thickBot="1" x14ac:dyDescent="0.4">
      <c r="A2" s="1" t="s">
        <v>0</v>
      </c>
      <c r="B2" s="2" t="s">
        <v>1</v>
      </c>
      <c r="C2" s="3" t="s">
        <v>2</v>
      </c>
    </row>
    <row r="3" spans="1:3" ht="40" customHeight="1" x14ac:dyDescent="0.35">
      <c r="A3" s="4">
        <v>1</v>
      </c>
      <c r="B3" s="28" t="str">
        <f>A$141&amp;"será un mes "&amp;A3</f>
        <v>será un mes 1</v>
      </c>
      <c r="C3" s="29" t="s">
        <v>729</v>
      </c>
    </row>
    <row r="4" spans="1:3" ht="40" customHeight="1" x14ac:dyDescent="0.35">
      <c r="A4" s="7">
        <v>2</v>
      </c>
      <c r="B4" s="30" t="str">
        <f t="shared" ref="B4:B13" si="0">A$141&amp;"será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C4461-A308-488B-B840-9AEB926B21B3}">
  <dimension ref="A1:C13"/>
  <sheetViews>
    <sheetView workbookViewId="0">
      <selection activeCell="G11" sqref="G11"/>
    </sheetView>
  </sheetViews>
  <sheetFormatPr baseColWidth="10" defaultRowHeight="14.5" x14ac:dyDescent="0.35"/>
  <sheetData>
    <row r="1" spans="1:3" ht="15" thickBot="1" x14ac:dyDescent="0.4">
      <c r="A1" s="15" t="s">
        <v>742</v>
      </c>
      <c r="B1" s="16"/>
      <c r="C1" s="17"/>
    </row>
    <row r="2" spans="1:3" ht="15" thickBot="1" x14ac:dyDescent="0.4">
      <c r="A2" s="1" t="s">
        <v>0</v>
      </c>
      <c r="B2" s="2" t="s">
        <v>1</v>
      </c>
      <c r="C2" s="3" t="s">
        <v>2</v>
      </c>
    </row>
    <row r="3" spans="1:3" ht="40" customHeight="1" x14ac:dyDescent="0.35">
      <c r="A3" s="4">
        <v>1</v>
      </c>
      <c r="B3" s="28" t="str">
        <f>A$155&amp;"será un mes "&amp;A3</f>
        <v>será un mes 1</v>
      </c>
      <c r="C3" s="29" t="s">
        <v>729</v>
      </c>
    </row>
    <row r="4" spans="1:3" ht="40" customHeight="1" x14ac:dyDescent="0.35">
      <c r="A4" s="7">
        <v>2</v>
      </c>
      <c r="B4" s="30" t="str">
        <f t="shared" ref="B4:B13" si="0">A$155&amp;"será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6F252-1BEE-42DC-AB99-2EEC553E6CDF}">
  <dimension ref="A1:C13"/>
  <sheetViews>
    <sheetView workbookViewId="0">
      <selection activeCell="G5" sqref="G5"/>
    </sheetView>
  </sheetViews>
  <sheetFormatPr baseColWidth="10" defaultRowHeight="14.5" x14ac:dyDescent="0.35"/>
  <sheetData>
    <row r="1" spans="1:3" ht="15" thickBot="1" x14ac:dyDescent="0.4">
      <c r="A1" s="15" t="s">
        <v>744</v>
      </c>
      <c r="B1" s="16"/>
      <c r="C1" s="17"/>
    </row>
    <row r="2" spans="1:3" ht="15" thickBot="1" x14ac:dyDescent="0.4">
      <c r="A2" s="1" t="s">
        <v>0</v>
      </c>
      <c r="B2" s="2" t="s">
        <v>1</v>
      </c>
      <c r="C2" s="3" t="s">
        <v>2</v>
      </c>
    </row>
    <row r="3" spans="1:3" ht="40" customHeight="1" x14ac:dyDescent="0.35">
      <c r="A3" s="4">
        <v>1</v>
      </c>
      <c r="B3" s="28" t="str">
        <f>A$155&amp;"será un mes "&amp;A3</f>
        <v>será un mes 1</v>
      </c>
      <c r="C3" s="29" t="s">
        <v>729</v>
      </c>
    </row>
    <row r="4" spans="1:3" ht="40" customHeight="1" x14ac:dyDescent="0.35">
      <c r="A4" s="7">
        <v>2</v>
      </c>
      <c r="B4" s="30" t="str">
        <f t="shared" ref="B4:B13" si="0">A$155&amp;"será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1A4C5-11D4-4FC4-97ED-1C4335FF612D}">
  <dimension ref="A1:C13"/>
  <sheetViews>
    <sheetView workbookViewId="0">
      <selection sqref="A1:C1"/>
    </sheetView>
  </sheetViews>
  <sheetFormatPr baseColWidth="10" defaultRowHeight="14.5" x14ac:dyDescent="0.35"/>
  <sheetData>
    <row r="1" spans="1:3" ht="15" thickBot="1" x14ac:dyDescent="0.4">
      <c r="A1" s="15" t="s">
        <v>745</v>
      </c>
      <c r="B1" s="16"/>
      <c r="C1" s="17"/>
    </row>
    <row r="2" spans="1:3" ht="15" thickBot="1" x14ac:dyDescent="0.4">
      <c r="A2" s="1" t="s">
        <v>0</v>
      </c>
      <c r="B2" s="2" t="s">
        <v>1</v>
      </c>
      <c r="C2" s="3" t="s">
        <v>2</v>
      </c>
    </row>
    <row r="3" spans="1:3" ht="40" customHeight="1" x14ac:dyDescent="0.35">
      <c r="A3" s="4">
        <v>1</v>
      </c>
      <c r="B3" s="28" t="str">
        <f>A$155&amp;"será un mes "&amp;A3</f>
        <v>será un mes 1</v>
      </c>
      <c r="C3" s="29" t="s">
        <v>729</v>
      </c>
    </row>
    <row r="4" spans="1:3" ht="40" customHeight="1" x14ac:dyDescent="0.35">
      <c r="A4" s="7">
        <v>2</v>
      </c>
      <c r="B4" s="30" t="str">
        <f t="shared" ref="B4:B13" si="0">A$155&amp;"será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D1014-0749-4455-882D-8304E4F43B19}">
  <dimension ref="A1:C13"/>
  <sheetViews>
    <sheetView workbookViewId="0">
      <selection activeCell="D3" sqref="D3"/>
    </sheetView>
  </sheetViews>
  <sheetFormatPr baseColWidth="10" defaultRowHeight="14.5" x14ac:dyDescent="0.35"/>
  <sheetData>
    <row r="1" spans="1:3" ht="15" thickBot="1" x14ac:dyDescent="0.4">
      <c r="A1" s="15" t="s">
        <v>746</v>
      </c>
      <c r="B1" s="16"/>
      <c r="C1" s="17"/>
    </row>
    <row r="2" spans="1:3" ht="15" thickBot="1" x14ac:dyDescent="0.4">
      <c r="A2" s="1" t="s">
        <v>0</v>
      </c>
      <c r="B2" s="2" t="s">
        <v>1</v>
      </c>
      <c r="C2" s="3" t="s">
        <v>2</v>
      </c>
    </row>
    <row r="3" spans="1:3" ht="40" customHeight="1" x14ac:dyDescent="0.35">
      <c r="A3" s="4">
        <v>1</v>
      </c>
      <c r="B3" s="28" t="str">
        <f>A$155&amp;"será un mes "&amp;A3</f>
        <v>será un mes 1</v>
      </c>
      <c r="C3" s="29" t="s">
        <v>729</v>
      </c>
    </row>
    <row r="4" spans="1:3" ht="40" customHeight="1" x14ac:dyDescent="0.35">
      <c r="A4" s="7">
        <v>2</v>
      </c>
      <c r="B4" s="30" t="str">
        <f t="shared" ref="B4:B13" si="0">A$155&amp;"será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22C9-642B-4E98-8A63-F7C7E2F7FF08}">
  <dimension ref="A1:C13"/>
  <sheetViews>
    <sheetView workbookViewId="0">
      <selection activeCell="A3" sqref="A3:XFD13"/>
    </sheetView>
  </sheetViews>
  <sheetFormatPr baseColWidth="10" defaultRowHeight="14.5" x14ac:dyDescent="0.35"/>
  <sheetData>
    <row r="1" spans="1:3" ht="15" thickBot="1" x14ac:dyDescent="0.4">
      <c r="A1" s="15" t="s">
        <v>747</v>
      </c>
      <c r="B1" s="16"/>
      <c r="C1" s="17"/>
    </row>
    <row r="2" spans="1:3" ht="15" thickBot="1" x14ac:dyDescent="0.4">
      <c r="A2" s="1" t="s">
        <v>0</v>
      </c>
      <c r="B2" s="2" t="s">
        <v>1</v>
      </c>
      <c r="C2" s="3" t="s">
        <v>2</v>
      </c>
    </row>
    <row r="3" spans="1:3" ht="40" customHeight="1" x14ac:dyDescent="0.35">
      <c r="A3" s="4">
        <v>1</v>
      </c>
      <c r="B3" s="28" t="str">
        <f>A$169&amp;"será un mes "&amp;A3</f>
        <v>será un mes 1</v>
      </c>
      <c r="C3" s="29" t="s">
        <v>729</v>
      </c>
    </row>
    <row r="4" spans="1:3" ht="40" customHeight="1" x14ac:dyDescent="0.35">
      <c r="A4" s="7">
        <v>2</v>
      </c>
      <c r="B4" s="30" t="str">
        <f t="shared" ref="B4:B13" si="0">A$169&amp;"será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4A1A5-325F-46E0-AA5C-C2F4FD8A6E2C}">
  <dimension ref="A1:C13"/>
  <sheetViews>
    <sheetView workbookViewId="0">
      <selection activeCell="G3" sqref="G3"/>
    </sheetView>
  </sheetViews>
  <sheetFormatPr baseColWidth="10" defaultRowHeight="14.5" x14ac:dyDescent="0.35"/>
  <sheetData>
    <row r="1" spans="1:3" ht="15" thickBot="1" x14ac:dyDescent="0.4">
      <c r="A1" s="15" t="s">
        <v>748</v>
      </c>
      <c r="B1" s="16"/>
      <c r="C1" s="17"/>
    </row>
    <row r="2" spans="1:3" ht="15" thickBot="1" x14ac:dyDescent="0.4">
      <c r="A2" s="1" t="s">
        <v>0</v>
      </c>
      <c r="B2" s="2" t="s">
        <v>1</v>
      </c>
      <c r="C2" s="3" t="s">
        <v>2</v>
      </c>
    </row>
    <row r="3" spans="1:3" ht="40" customHeight="1" x14ac:dyDescent="0.35">
      <c r="A3" s="4">
        <v>1</v>
      </c>
      <c r="B3" s="28" t="str">
        <f>A$169&amp;"será un mes "&amp;A3</f>
        <v>será un mes 1</v>
      </c>
      <c r="C3" s="29" t="s">
        <v>729</v>
      </c>
    </row>
    <row r="4" spans="1:3" ht="40" customHeight="1" x14ac:dyDescent="0.35">
      <c r="A4" s="7">
        <v>2</v>
      </c>
      <c r="B4" s="30" t="str">
        <f t="shared" ref="B4:B13" si="0">A$169&amp;"será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FA374-1AEA-4C21-8ABB-490D24645BD0}">
  <dimension ref="A1:C13"/>
  <sheetViews>
    <sheetView workbookViewId="0">
      <selection activeCell="A3" sqref="A3:XFD13"/>
    </sheetView>
  </sheetViews>
  <sheetFormatPr baseColWidth="10" defaultRowHeight="14.5" x14ac:dyDescent="0.35"/>
  <sheetData>
    <row r="1" spans="1:3" ht="15" thickBot="1" x14ac:dyDescent="0.4">
      <c r="A1" s="15" t="s">
        <v>749</v>
      </c>
      <c r="B1" s="16"/>
      <c r="C1" s="17"/>
    </row>
    <row r="2" spans="1:3" ht="15" thickBot="1" x14ac:dyDescent="0.4">
      <c r="A2" s="1" t="s">
        <v>0</v>
      </c>
      <c r="B2" s="2" t="s">
        <v>1</v>
      </c>
      <c r="C2" s="3" t="s">
        <v>2</v>
      </c>
    </row>
    <row r="3" spans="1:3" ht="40" customHeight="1" x14ac:dyDescent="0.35">
      <c r="A3" s="4">
        <v>1</v>
      </c>
      <c r="B3" s="28" t="str">
        <f>A$169&amp;"será un mes "&amp;A3</f>
        <v>será un mes 1</v>
      </c>
      <c r="C3" s="29" t="s">
        <v>729</v>
      </c>
    </row>
    <row r="4" spans="1:3" ht="40" customHeight="1" x14ac:dyDescent="0.35">
      <c r="A4" s="7">
        <v>2</v>
      </c>
      <c r="B4" s="30" t="str">
        <f t="shared" ref="B4:B13" si="0">A$169&amp;"será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6214B-D7D4-4EC1-835F-0E8C7F0F385D}">
  <dimension ref="A1:C13"/>
  <sheetViews>
    <sheetView workbookViewId="0">
      <selection activeCell="D3" sqref="D3"/>
    </sheetView>
  </sheetViews>
  <sheetFormatPr baseColWidth="10" defaultRowHeight="14.5" x14ac:dyDescent="0.35"/>
  <sheetData>
    <row r="1" spans="1:3" ht="15" thickBot="1" x14ac:dyDescent="0.4">
      <c r="A1" s="15" t="s">
        <v>750</v>
      </c>
      <c r="B1" s="16"/>
      <c r="C1" s="17"/>
    </row>
    <row r="2" spans="1:3" ht="15" thickBot="1" x14ac:dyDescent="0.4">
      <c r="A2" s="1" t="s">
        <v>0</v>
      </c>
      <c r="B2" s="2" t="s">
        <v>1</v>
      </c>
      <c r="C2" s="3" t="s">
        <v>2</v>
      </c>
    </row>
    <row r="3" spans="1:3" ht="40" customHeight="1" x14ac:dyDescent="0.35">
      <c r="A3" s="4">
        <v>1</v>
      </c>
      <c r="B3" s="28" t="str">
        <f>A$169&amp;"será un mes "&amp;A3</f>
        <v>será un mes 1</v>
      </c>
      <c r="C3" s="29" t="s">
        <v>729</v>
      </c>
    </row>
    <row r="4" spans="1:3" ht="40" customHeight="1" x14ac:dyDescent="0.35">
      <c r="A4" s="7">
        <v>2</v>
      </c>
      <c r="B4" s="30" t="str">
        <f t="shared" ref="B4:B13" si="0">A$169&amp;"será un mes "&amp;A4</f>
        <v>será un mes 2</v>
      </c>
      <c r="C4" s="31" t="s">
        <v>730</v>
      </c>
    </row>
    <row r="5" spans="1:3" ht="40" customHeight="1" x14ac:dyDescent="0.35">
      <c r="A5" s="7">
        <v>3</v>
      </c>
      <c r="B5" s="30" t="str">
        <f t="shared" si="0"/>
        <v>será un mes 3</v>
      </c>
      <c r="C5" s="31" t="s">
        <v>731</v>
      </c>
    </row>
    <row r="6" spans="1:3" ht="40" customHeight="1" x14ac:dyDescent="0.35">
      <c r="A6" s="7">
        <v>4</v>
      </c>
      <c r="B6" s="30" t="str">
        <f t="shared" si="0"/>
        <v>será un mes 4</v>
      </c>
      <c r="C6" s="31" t="s">
        <v>732</v>
      </c>
    </row>
    <row r="7" spans="1:3" ht="40" customHeight="1" x14ac:dyDescent="0.35">
      <c r="A7" s="7">
        <v>5</v>
      </c>
      <c r="B7" s="30" t="str">
        <f t="shared" si="0"/>
        <v>será un mes 5</v>
      </c>
      <c r="C7" s="31" t="s">
        <v>733</v>
      </c>
    </row>
    <row r="8" spans="1:3" ht="40" customHeight="1" x14ac:dyDescent="0.35">
      <c r="A8" s="7">
        <v>6</v>
      </c>
      <c r="B8" s="30" t="str">
        <f t="shared" si="0"/>
        <v>será un mes 6</v>
      </c>
      <c r="C8" s="31" t="s">
        <v>734</v>
      </c>
    </row>
    <row r="9" spans="1:3" ht="40" customHeight="1" x14ac:dyDescent="0.35">
      <c r="A9" s="7">
        <v>7</v>
      </c>
      <c r="B9" s="30" t="str">
        <f t="shared" si="0"/>
        <v>será un mes 7</v>
      </c>
      <c r="C9" s="31" t="s">
        <v>735</v>
      </c>
    </row>
    <row r="10" spans="1:3" ht="40" customHeight="1" x14ac:dyDescent="0.35">
      <c r="A10" s="7">
        <v>8</v>
      </c>
      <c r="B10" s="30" t="str">
        <f t="shared" si="0"/>
        <v>será un mes 8</v>
      </c>
      <c r="C10" s="31" t="s">
        <v>736</v>
      </c>
    </row>
    <row r="11" spans="1:3" ht="40" customHeight="1" x14ac:dyDescent="0.35">
      <c r="A11" s="7">
        <v>9</v>
      </c>
      <c r="B11" s="30" t="str">
        <f t="shared" si="0"/>
        <v>será un mes 9</v>
      </c>
      <c r="C11" s="31" t="s">
        <v>737</v>
      </c>
    </row>
    <row r="12" spans="1:3" ht="40" customHeight="1" x14ac:dyDescent="0.35">
      <c r="A12" s="7">
        <v>11</v>
      </c>
      <c r="B12" s="30" t="str">
        <f t="shared" si="0"/>
        <v>será un mes 11</v>
      </c>
      <c r="C12" s="31" t="s">
        <v>738</v>
      </c>
    </row>
    <row r="13" spans="1:3" ht="40" customHeight="1" thickBot="1" x14ac:dyDescent="0.4">
      <c r="A13" s="10">
        <v>22</v>
      </c>
      <c r="B13" s="32" t="str">
        <f t="shared" si="0"/>
        <v>será un mes 22</v>
      </c>
      <c r="C13" s="33" t="s">
        <v>739</v>
      </c>
    </row>
  </sheetData>
  <mergeCells count="1">
    <mergeCell ref="A1:C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DA92-C4DC-4779-9626-F8CFFB189091}">
  <dimension ref="A1:C81"/>
  <sheetViews>
    <sheetView workbookViewId="0">
      <selection activeCell="D3" sqref="D3"/>
    </sheetView>
  </sheetViews>
  <sheetFormatPr baseColWidth="10" defaultRowHeight="14.5" x14ac:dyDescent="0.35"/>
  <sheetData>
    <row r="1" spans="1:3" x14ac:dyDescent="0.35">
      <c r="A1" s="34" t="s">
        <v>751</v>
      </c>
      <c r="B1" s="35"/>
      <c r="C1" s="36"/>
    </row>
    <row r="2" spans="1:3" ht="15" thickBot="1" x14ac:dyDescent="0.4">
      <c r="A2" s="37"/>
      <c r="B2" s="38"/>
      <c r="C2" s="39"/>
    </row>
    <row r="3" spans="1:3" x14ac:dyDescent="0.35">
      <c r="A3" s="40" t="s">
        <v>0</v>
      </c>
      <c r="B3" s="41" t="s">
        <v>1</v>
      </c>
      <c r="C3" s="42" t="s">
        <v>2</v>
      </c>
    </row>
    <row r="4" spans="1:3" x14ac:dyDescent="0.35">
      <c r="A4" s="7">
        <v>1</v>
      </c>
      <c r="B4" s="30" t="s">
        <v>752</v>
      </c>
      <c r="C4" s="31" t="s">
        <v>753</v>
      </c>
    </row>
    <row r="5" spans="1:3" x14ac:dyDescent="0.35">
      <c r="A5" s="7">
        <v>2</v>
      </c>
      <c r="B5" s="30" t="s">
        <v>754</v>
      </c>
      <c r="C5" s="31" t="s">
        <v>755</v>
      </c>
    </row>
    <row r="6" spans="1:3" x14ac:dyDescent="0.35">
      <c r="A6" s="7">
        <v>3</v>
      </c>
      <c r="B6" s="30" t="s">
        <v>756</v>
      </c>
      <c r="C6" s="31" t="s">
        <v>757</v>
      </c>
    </row>
    <row r="7" spans="1:3" x14ac:dyDescent="0.35">
      <c r="A7" s="7">
        <v>4</v>
      </c>
      <c r="B7" s="30" t="s">
        <v>758</v>
      </c>
      <c r="C7" s="31" t="s">
        <v>759</v>
      </c>
    </row>
    <row r="8" spans="1:3" x14ac:dyDescent="0.35">
      <c r="A8" s="7">
        <v>5</v>
      </c>
      <c r="B8" s="30" t="s">
        <v>760</v>
      </c>
      <c r="C8" s="31" t="s">
        <v>761</v>
      </c>
    </row>
    <row r="9" spans="1:3" x14ac:dyDescent="0.35">
      <c r="A9" s="7">
        <v>6</v>
      </c>
      <c r="B9" s="30" t="s">
        <v>762</v>
      </c>
      <c r="C9" s="31" t="s">
        <v>763</v>
      </c>
    </row>
    <row r="10" spans="1:3" x14ac:dyDescent="0.35">
      <c r="A10" s="7">
        <v>7</v>
      </c>
      <c r="B10" s="30" t="s">
        <v>764</v>
      </c>
      <c r="C10" s="31" t="s">
        <v>765</v>
      </c>
    </row>
    <row r="11" spans="1:3" x14ac:dyDescent="0.35">
      <c r="A11" s="7">
        <v>8</v>
      </c>
      <c r="B11" s="30" t="s">
        <v>766</v>
      </c>
      <c r="C11" s="31" t="s">
        <v>767</v>
      </c>
    </row>
    <row r="12" spans="1:3" x14ac:dyDescent="0.35">
      <c r="A12" s="7">
        <v>9</v>
      </c>
      <c r="B12" s="30" t="s">
        <v>768</v>
      </c>
      <c r="C12" s="31" t="s">
        <v>769</v>
      </c>
    </row>
    <row r="13" spans="1:3" x14ac:dyDescent="0.35">
      <c r="A13" s="7">
        <v>10</v>
      </c>
      <c r="B13" s="30" t="s">
        <v>770</v>
      </c>
      <c r="C13" s="31" t="s">
        <v>771</v>
      </c>
    </row>
    <row r="14" spans="1:3" x14ac:dyDescent="0.35">
      <c r="A14" s="7">
        <v>11</v>
      </c>
      <c r="B14" s="30" t="s">
        <v>772</v>
      </c>
      <c r="C14" s="31" t="s">
        <v>773</v>
      </c>
    </row>
    <row r="15" spans="1:3" x14ac:dyDescent="0.35">
      <c r="A15" s="7">
        <v>12</v>
      </c>
      <c r="B15" s="30" t="s">
        <v>774</v>
      </c>
      <c r="C15" s="31" t="s">
        <v>775</v>
      </c>
    </row>
    <row r="16" spans="1:3" x14ac:dyDescent="0.35">
      <c r="A16" s="7">
        <v>13</v>
      </c>
      <c r="B16" s="30" t="s">
        <v>776</v>
      </c>
      <c r="C16" s="31" t="s">
        <v>777</v>
      </c>
    </row>
    <row r="17" spans="1:3" x14ac:dyDescent="0.35">
      <c r="A17" s="7">
        <v>14</v>
      </c>
      <c r="B17" s="30" t="s">
        <v>778</v>
      </c>
      <c r="C17" s="31" t="s">
        <v>779</v>
      </c>
    </row>
    <row r="18" spans="1:3" x14ac:dyDescent="0.35">
      <c r="A18" s="7">
        <v>15</v>
      </c>
      <c r="B18" s="30" t="s">
        <v>780</v>
      </c>
      <c r="C18" s="31" t="s">
        <v>781</v>
      </c>
    </row>
    <row r="19" spans="1:3" x14ac:dyDescent="0.35">
      <c r="A19" s="7">
        <v>16</v>
      </c>
      <c r="B19" s="30" t="s">
        <v>782</v>
      </c>
      <c r="C19" s="31" t="s">
        <v>783</v>
      </c>
    </row>
    <row r="20" spans="1:3" x14ac:dyDescent="0.35">
      <c r="A20" s="7">
        <v>17</v>
      </c>
      <c r="B20" s="30" t="s">
        <v>784</v>
      </c>
      <c r="C20" s="31" t="s">
        <v>785</v>
      </c>
    </row>
    <row r="21" spans="1:3" x14ac:dyDescent="0.35">
      <c r="A21" s="7">
        <v>18</v>
      </c>
      <c r="B21" s="30" t="s">
        <v>786</v>
      </c>
      <c r="C21" s="31" t="s">
        <v>787</v>
      </c>
    </row>
    <row r="22" spans="1:3" x14ac:dyDescent="0.35">
      <c r="A22" s="7">
        <v>19</v>
      </c>
      <c r="B22" s="30" t="s">
        <v>788</v>
      </c>
      <c r="C22" s="31" t="s">
        <v>789</v>
      </c>
    </row>
    <row r="23" spans="1:3" x14ac:dyDescent="0.35">
      <c r="A23" s="7">
        <v>20</v>
      </c>
      <c r="B23" s="30" t="s">
        <v>790</v>
      </c>
      <c r="C23" s="31" t="s">
        <v>791</v>
      </c>
    </row>
    <row r="24" spans="1:3" x14ac:dyDescent="0.35">
      <c r="A24" s="7">
        <v>21</v>
      </c>
      <c r="B24" s="30" t="s">
        <v>792</v>
      </c>
      <c r="C24" s="31" t="s">
        <v>793</v>
      </c>
    </row>
    <row r="25" spans="1:3" x14ac:dyDescent="0.35">
      <c r="A25" s="7">
        <v>22</v>
      </c>
      <c r="B25" s="30" t="s">
        <v>794</v>
      </c>
      <c r="C25" s="31" t="s">
        <v>795</v>
      </c>
    </row>
    <row r="26" spans="1:3" x14ac:dyDescent="0.35">
      <c r="A26" s="7">
        <v>23</v>
      </c>
      <c r="B26" s="30" t="s">
        <v>796</v>
      </c>
      <c r="C26" s="31" t="s">
        <v>797</v>
      </c>
    </row>
    <row r="27" spans="1:3" x14ac:dyDescent="0.35">
      <c r="A27" s="7">
        <v>24</v>
      </c>
      <c r="B27" s="30" t="s">
        <v>798</v>
      </c>
      <c r="C27" s="31" t="s">
        <v>799</v>
      </c>
    </row>
    <row r="28" spans="1:3" x14ac:dyDescent="0.35">
      <c r="A28" s="7">
        <v>25</v>
      </c>
      <c r="B28" s="30" t="s">
        <v>800</v>
      </c>
      <c r="C28" s="31" t="s">
        <v>801</v>
      </c>
    </row>
    <row r="29" spans="1:3" x14ac:dyDescent="0.35">
      <c r="A29" s="7">
        <v>26</v>
      </c>
      <c r="B29" s="30" t="s">
        <v>802</v>
      </c>
      <c r="C29" s="31" t="s">
        <v>803</v>
      </c>
    </row>
    <row r="30" spans="1:3" x14ac:dyDescent="0.35">
      <c r="A30" s="7">
        <v>27</v>
      </c>
      <c r="B30" s="30" t="s">
        <v>804</v>
      </c>
      <c r="C30" s="31" t="s">
        <v>805</v>
      </c>
    </row>
    <row r="31" spans="1:3" x14ac:dyDescent="0.35">
      <c r="A31" s="7">
        <v>28</v>
      </c>
      <c r="B31" s="30" t="s">
        <v>806</v>
      </c>
      <c r="C31" s="31" t="s">
        <v>807</v>
      </c>
    </row>
    <row r="32" spans="1:3" x14ac:dyDescent="0.35">
      <c r="A32" s="7">
        <v>29</v>
      </c>
      <c r="B32" s="30" t="s">
        <v>808</v>
      </c>
      <c r="C32" s="31" t="s">
        <v>809</v>
      </c>
    </row>
    <row r="33" spans="1:3" x14ac:dyDescent="0.35">
      <c r="A33" s="7">
        <v>30</v>
      </c>
      <c r="B33" s="30" t="s">
        <v>810</v>
      </c>
      <c r="C33" s="31" t="s">
        <v>811</v>
      </c>
    </row>
    <row r="34" spans="1:3" x14ac:dyDescent="0.35">
      <c r="A34" s="7">
        <v>31</v>
      </c>
      <c r="B34" s="30" t="s">
        <v>812</v>
      </c>
      <c r="C34" s="31" t="s">
        <v>813</v>
      </c>
    </row>
    <row r="35" spans="1:3" x14ac:dyDescent="0.35">
      <c r="A35" s="7">
        <v>32</v>
      </c>
      <c r="B35" s="30" t="s">
        <v>814</v>
      </c>
      <c r="C35" s="31" t="s">
        <v>815</v>
      </c>
    </row>
    <row r="36" spans="1:3" x14ac:dyDescent="0.35">
      <c r="A36" s="7">
        <v>33</v>
      </c>
      <c r="B36" s="30" t="s">
        <v>816</v>
      </c>
      <c r="C36" s="31" t="s">
        <v>817</v>
      </c>
    </row>
    <row r="37" spans="1:3" x14ac:dyDescent="0.35">
      <c r="A37" s="7">
        <v>34</v>
      </c>
      <c r="B37" s="30" t="s">
        <v>818</v>
      </c>
      <c r="C37" s="31" t="s">
        <v>819</v>
      </c>
    </row>
    <row r="38" spans="1:3" x14ac:dyDescent="0.35">
      <c r="A38" s="7">
        <v>35</v>
      </c>
      <c r="B38" s="30" t="s">
        <v>820</v>
      </c>
      <c r="C38" s="31" t="s">
        <v>821</v>
      </c>
    </row>
    <row r="39" spans="1:3" x14ac:dyDescent="0.35">
      <c r="A39" s="7">
        <v>36</v>
      </c>
      <c r="B39" s="30" t="s">
        <v>822</v>
      </c>
      <c r="C39" s="31" t="s">
        <v>823</v>
      </c>
    </row>
    <row r="40" spans="1:3" x14ac:dyDescent="0.35">
      <c r="A40" s="7">
        <v>37</v>
      </c>
      <c r="B40" s="30" t="s">
        <v>824</v>
      </c>
      <c r="C40" s="31" t="s">
        <v>825</v>
      </c>
    </row>
    <row r="41" spans="1:3" x14ac:dyDescent="0.35">
      <c r="A41" s="7">
        <v>38</v>
      </c>
      <c r="B41" s="30" t="s">
        <v>826</v>
      </c>
      <c r="C41" s="31" t="s">
        <v>827</v>
      </c>
    </row>
    <row r="42" spans="1:3" x14ac:dyDescent="0.35">
      <c r="A42" s="7">
        <v>39</v>
      </c>
      <c r="B42" s="30" t="s">
        <v>828</v>
      </c>
      <c r="C42" s="31" t="s">
        <v>829</v>
      </c>
    </row>
    <row r="43" spans="1:3" x14ac:dyDescent="0.35">
      <c r="A43" s="7">
        <v>40</v>
      </c>
      <c r="B43" s="30" t="s">
        <v>830</v>
      </c>
      <c r="C43" s="31" t="s">
        <v>831</v>
      </c>
    </row>
    <row r="44" spans="1:3" x14ac:dyDescent="0.35">
      <c r="A44" s="7">
        <v>41</v>
      </c>
      <c r="B44" s="30" t="s">
        <v>832</v>
      </c>
      <c r="C44" s="31" t="s">
        <v>833</v>
      </c>
    </row>
    <row r="45" spans="1:3" x14ac:dyDescent="0.35">
      <c r="A45" s="7">
        <v>42</v>
      </c>
      <c r="B45" s="30" t="s">
        <v>834</v>
      </c>
      <c r="C45" s="31" t="s">
        <v>835</v>
      </c>
    </row>
    <row r="46" spans="1:3" x14ac:dyDescent="0.35">
      <c r="A46" s="7">
        <v>43</v>
      </c>
      <c r="B46" s="30" t="s">
        <v>836</v>
      </c>
      <c r="C46" s="31" t="s">
        <v>837</v>
      </c>
    </row>
    <row r="47" spans="1:3" x14ac:dyDescent="0.35">
      <c r="A47" s="7">
        <v>44</v>
      </c>
      <c r="B47" s="30" t="s">
        <v>838</v>
      </c>
      <c r="C47" s="31" t="s">
        <v>839</v>
      </c>
    </row>
    <row r="48" spans="1:3" x14ac:dyDescent="0.35">
      <c r="A48" s="7">
        <v>45</v>
      </c>
      <c r="B48" s="30" t="s">
        <v>840</v>
      </c>
      <c r="C48" s="31" t="s">
        <v>841</v>
      </c>
    </row>
    <row r="49" spans="1:3" x14ac:dyDescent="0.35">
      <c r="A49" s="7">
        <v>46</v>
      </c>
      <c r="B49" s="30" t="s">
        <v>842</v>
      </c>
      <c r="C49" s="31" t="s">
        <v>843</v>
      </c>
    </row>
    <row r="50" spans="1:3" x14ac:dyDescent="0.35">
      <c r="A50" s="7">
        <v>47</v>
      </c>
      <c r="B50" s="30" t="s">
        <v>844</v>
      </c>
      <c r="C50" s="31" t="s">
        <v>845</v>
      </c>
    </row>
    <row r="51" spans="1:3" x14ac:dyDescent="0.35">
      <c r="A51" s="7">
        <v>48</v>
      </c>
      <c r="B51" s="30" t="s">
        <v>846</v>
      </c>
      <c r="C51" s="31" t="s">
        <v>847</v>
      </c>
    </row>
    <row r="52" spans="1:3" x14ac:dyDescent="0.35">
      <c r="A52" s="7">
        <v>49</v>
      </c>
      <c r="B52" s="30" t="s">
        <v>848</v>
      </c>
      <c r="C52" s="31" t="s">
        <v>849</v>
      </c>
    </row>
    <row r="53" spans="1:3" x14ac:dyDescent="0.35">
      <c r="A53" s="7">
        <v>50</v>
      </c>
      <c r="B53" s="30" t="s">
        <v>850</v>
      </c>
      <c r="C53" s="31" t="s">
        <v>851</v>
      </c>
    </row>
    <row r="54" spans="1:3" x14ac:dyDescent="0.35">
      <c r="A54" s="7">
        <v>51</v>
      </c>
      <c r="B54" s="30" t="s">
        <v>852</v>
      </c>
      <c r="C54" s="31" t="s">
        <v>853</v>
      </c>
    </row>
    <row r="55" spans="1:3" x14ac:dyDescent="0.35">
      <c r="A55" s="7">
        <v>52</v>
      </c>
      <c r="B55" s="30" t="s">
        <v>854</v>
      </c>
      <c r="C55" s="31" t="s">
        <v>855</v>
      </c>
    </row>
    <row r="56" spans="1:3" x14ac:dyDescent="0.35">
      <c r="A56" s="7">
        <v>53</v>
      </c>
      <c r="B56" s="30" t="s">
        <v>856</v>
      </c>
      <c r="C56" s="31" t="s">
        <v>857</v>
      </c>
    </row>
    <row r="57" spans="1:3" x14ac:dyDescent="0.35">
      <c r="A57" s="7">
        <v>54</v>
      </c>
      <c r="B57" s="30" t="s">
        <v>858</v>
      </c>
      <c r="C57" s="31" t="s">
        <v>859</v>
      </c>
    </row>
    <row r="58" spans="1:3" x14ac:dyDescent="0.35">
      <c r="A58" s="7">
        <v>55</v>
      </c>
      <c r="B58" s="30" t="s">
        <v>860</v>
      </c>
      <c r="C58" s="31" t="s">
        <v>861</v>
      </c>
    </row>
    <row r="59" spans="1:3" x14ac:dyDescent="0.35">
      <c r="A59" s="7">
        <v>56</v>
      </c>
      <c r="B59" s="30" t="s">
        <v>862</v>
      </c>
      <c r="C59" s="31" t="s">
        <v>863</v>
      </c>
    </row>
    <row r="60" spans="1:3" x14ac:dyDescent="0.35">
      <c r="A60" s="7">
        <v>57</v>
      </c>
      <c r="B60" s="30" t="s">
        <v>864</v>
      </c>
      <c r="C60" s="31" t="s">
        <v>865</v>
      </c>
    </row>
    <row r="61" spans="1:3" x14ac:dyDescent="0.35">
      <c r="A61" s="7">
        <v>58</v>
      </c>
      <c r="B61" s="30" t="s">
        <v>866</v>
      </c>
      <c r="C61" s="31" t="s">
        <v>867</v>
      </c>
    </row>
    <row r="62" spans="1:3" x14ac:dyDescent="0.35">
      <c r="A62" s="7">
        <v>59</v>
      </c>
      <c r="B62" s="30" t="s">
        <v>868</v>
      </c>
      <c r="C62" s="31" t="s">
        <v>869</v>
      </c>
    </row>
    <row r="63" spans="1:3" x14ac:dyDescent="0.35">
      <c r="A63" s="7">
        <v>60</v>
      </c>
      <c r="B63" s="30" t="s">
        <v>870</v>
      </c>
      <c r="C63" s="31" t="s">
        <v>871</v>
      </c>
    </row>
    <row r="64" spans="1:3" x14ac:dyDescent="0.35">
      <c r="A64" s="7">
        <v>61</v>
      </c>
      <c r="B64" s="30" t="s">
        <v>872</v>
      </c>
      <c r="C64" s="31" t="s">
        <v>873</v>
      </c>
    </row>
    <row r="65" spans="1:3" x14ac:dyDescent="0.35">
      <c r="A65" s="7">
        <v>62</v>
      </c>
      <c r="B65" s="30" t="s">
        <v>874</v>
      </c>
      <c r="C65" s="31" t="s">
        <v>875</v>
      </c>
    </row>
    <row r="66" spans="1:3" x14ac:dyDescent="0.35">
      <c r="A66" s="7">
        <v>63</v>
      </c>
      <c r="B66" s="30" t="s">
        <v>876</v>
      </c>
      <c r="C66" s="31" t="s">
        <v>877</v>
      </c>
    </row>
    <row r="67" spans="1:3" x14ac:dyDescent="0.35">
      <c r="A67" s="7">
        <v>64</v>
      </c>
      <c r="B67" s="30" t="s">
        <v>878</v>
      </c>
      <c r="C67" s="31" t="s">
        <v>879</v>
      </c>
    </row>
    <row r="68" spans="1:3" x14ac:dyDescent="0.35">
      <c r="A68" s="7">
        <v>65</v>
      </c>
      <c r="B68" s="30" t="s">
        <v>880</v>
      </c>
      <c r="C68" s="31" t="s">
        <v>881</v>
      </c>
    </row>
    <row r="69" spans="1:3" x14ac:dyDescent="0.35">
      <c r="A69" s="7">
        <v>66</v>
      </c>
      <c r="B69" s="30" t="s">
        <v>882</v>
      </c>
      <c r="C69" s="31" t="s">
        <v>883</v>
      </c>
    </row>
    <row r="70" spans="1:3" x14ac:dyDescent="0.35">
      <c r="A70" s="7">
        <v>67</v>
      </c>
      <c r="B70" s="30" t="s">
        <v>884</v>
      </c>
      <c r="C70" s="31" t="s">
        <v>885</v>
      </c>
    </row>
    <row r="71" spans="1:3" x14ac:dyDescent="0.35">
      <c r="A71" s="7">
        <v>68</v>
      </c>
      <c r="B71" s="30" t="s">
        <v>886</v>
      </c>
      <c r="C71" s="31" t="s">
        <v>887</v>
      </c>
    </row>
    <row r="72" spans="1:3" x14ac:dyDescent="0.35">
      <c r="A72" s="7">
        <v>69</v>
      </c>
      <c r="B72" s="30" t="s">
        <v>888</v>
      </c>
      <c r="C72" s="31" t="s">
        <v>889</v>
      </c>
    </row>
    <row r="73" spans="1:3" x14ac:dyDescent="0.35">
      <c r="A73" s="7">
        <v>70</v>
      </c>
      <c r="B73" s="30" t="s">
        <v>890</v>
      </c>
      <c r="C73" s="31" t="s">
        <v>891</v>
      </c>
    </row>
    <row r="74" spans="1:3" x14ac:dyDescent="0.35">
      <c r="A74" s="7">
        <v>71</v>
      </c>
      <c r="B74" s="30" t="s">
        <v>892</v>
      </c>
      <c r="C74" s="31" t="s">
        <v>893</v>
      </c>
    </row>
    <row r="75" spans="1:3" x14ac:dyDescent="0.35">
      <c r="A75" s="7">
        <v>72</v>
      </c>
      <c r="B75" s="30" t="s">
        <v>894</v>
      </c>
      <c r="C75" s="31" t="s">
        <v>895</v>
      </c>
    </row>
    <row r="76" spans="1:3" x14ac:dyDescent="0.35">
      <c r="A76" s="7">
        <v>73</v>
      </c>
      <c r="B76" s="30" t="s">
        <v>896</v>
      </c>
      <c r="C76" s="31" t="s">
        <v>897</v>
      </c>
    </row>
    <row r="77" spans="1:3" x14ac:dyDescent="0.35">
      <c r="A77" s="7">
        <v>74</v>
      </c>
      <c r="B77" s="30" t="s">
        <v>898</v>
      </c>
      <c r="C77" s="31" t="s">
        <v>899</v>
      </c>
    </row>
    <row r="78" spans="1:3" x14ac:dyDescent="0.35">
      <c r="A78" s="7">
        <v>75</v>
      </c>
      <c r="B78" s="30" t="s">
        <v>900</v>
      </c>
      <c r="C78" s="31" t="s">
        <v>901</v>
      </c>
    </row>
    <row r="79" spans="1:3" x14ac:dyDescent="0.35">
      <c r="A79" s="7">
        <v>76</v>
      </c>
      <c r="B79" s="30" t="s">
        <v>902</v>
      </c>
      <c r="C79" s="31" t="s">
        <v>903</v>
      </c>
    </row>
    <row r="80" spans="1:3" x14ac:dyDescent="0.35">
      <c r="A80" s="7">
        <v>77</v>
      </c>
      <c r="B80" s="30" t="s">
        <v>904</v>
      </c>
      <c r="C80" s="31" t="s">
        <v>905</v>
      </c>
    </row>
    <row r="81" spans="1:3" ht="15" thickBot="1" x14ac:dyDescent="0.4">
      <c r="A81" s="10">
        <v>78</v>
      </c>
      <c r="B81" s="32" t="s">
        <v>906</v>
      </c>
      <c r="C81" s="33" t="s">
        <v>907</v>
      </c>
    </row>
  </sheetData>
  <mergeCells count="1">
    <mergeCell ref="A1:C2"/>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CA13-64D1-480F-8298-B0EA9BAF032E}">
  <dimension ref="A1:C81"/>
  <sheetViews>
    <sheetView workbookViewId="0">
      <selection activeCell="G13" sqref="G13"/>
    </sheetView>
  </sheetViews>
  <sheetFormatPr baseColWidth="10" defaultRowHeight="14.5" x14ac:dyDescent="0.35"/>
  <sheetData>
    <row r="1" spans="1:3" x14ac:dyDescent="0.35">
      <c r="A1" s="34" t="s">
        <v>908</v>
      </c>
      <c r="B1" s="35"/>
      <c r="C1" s="36"/>
    </row>
    <row r="2" spans="1:3" ht="15" thickBot="1" x14ac:dyDescent="0.4">
      <c r="A2" s="37"/>
      <c r="B2" s="38"/>
      <c r="C2" s="39"/>
    </row>
    <row r="3" spans="1:3" x14ac:dyDescent="0.35">
      <c r="A3" s="40" t="s">
        <v>0</v>
      </c>
      <c r="B3" s="41" t="s">
        <v>1</v>
      </c>
      <c r="C3" s="42" t="s">
        <v>2</v>
      </c>
    </row>
    <row r="4" spans="1:3" x14ac:dyDescent="0.35">
      <c r="A4" s="7">
        <v>1</v>
      </c>
      <c r="B4" s="30" t="s">
        <v>909</v>
      </c>
      <c r="C4" s="30" t="s">
        <v>910</v>
      </c>
    </row>
    <row r="5" spans="1:3" x14ac:dyDescent="0.35">
      <c r="A5" s="7">
        <v>2</v>
      </c>
      <c r="B5" s="30" t="s">
        <v>911</v>
      </c>
      <c r="C5" s="30" t="s">
        <v>912</v>
      </c>
    </row>
    <row r="6" spans="1:3" x14ac:dyDescent="0.35">
      <c r="A6" s="7">
        <v>3</v>
      </c>
      <c r="B6" s="30" t="s">
        <v>913</v>
      </c>
      <c r="C6" s="30" t="s">
        <v>914</v>
      </c>
    </row>
    <row r="7" spans="1:3" x14ac:dyDescent="0.35">
      <c r="A7" s="7">
        <v>4</v>
      </c>
      <c r="B7" s="30" t="s">
        <v>915</v>
      </c>
      <c r="C7" s="30" t="s">
        <v>916</v>
      </c>
    </row>
    <row r="8" spans="1:3" x14ac:dyDescent="0.35">
      <c r="A8" s="7">
        <v>5</v>
      </c>
      <c r="B8" s="30" t="s">
        <v>917</v>
      </c>
      <c r="C8" s="30" t="s">
        <v>918</v>
      </c>
    </row>
    <row r="9" spans="1:3" x14ac:dyDescent="0.35">
      <c r="A9" s="7">
        <v>6</v>
      </c>
      <c r="B9" s="30" t="s">
        <v>919</v>
      </c>
      <c r="C9" s="30" t="s">
        <v>920</v>
      </c>
    </row>
    <row r="10" spans="1:3" x14ac:dyDescent="0.35">
      <c r="A10" s="7">
        <v>7</v>
      </c>
      <c r="B10" s="30" t="s">
        <v>921</v>
      </c>
      <c r="C10" s="30" t="s">
        <v>922</v>
      </c>
    </row>
    <row r="11" spans="1:3" x14ac:dyDescent="0.35">
      <c r="A11" s="7">
        <v>8</v>
      </c>
      <c r="B11" s="30" t="s">
        <v>923</v>
      </c>
      <c r="C11" s="30" t="s">
        <v>924</v>
      </c>
    </row>
    <row r="12" spans="1:3" x14ac:dyDescent="0.35">
      <c r="A12" s="7">
        <v>9</v>
      </c>
      <c r="B12" s="30" t="s">
        <v>925</v>
      </c>
      <c r="C12" s="30" t="s">
        <v>926</v>
      </c>
    </row>
    <row r="13" spans="1:3" x14ac:dyDescent="0.35">
      <c r="A13" s="7">
        <v>10</v>
      </c>
      <c r="B13" s="30" t="s">
        <v>927</v>
      </c>
      <c r="C13" s="30" t="s">
        <v>928</v>
      </c>
    </row>
    <row r="14" spans="1:3" x14ac:dyDescent="0.35">
      <c r="A14" s="7">
        <v>11</v>
      </c>
      <c r="B14" s="30" t="s">
        <v>929</v>
      </c>
      <c r="C14" s="30" t="s">
        <v>930</v>
      </c>
    </row>
    <row r="15" spans="1:3" x14ac:dyDescent="0.35">
      <c r="A15" s="7">
        <v>12</v>
      </c>
      <c r="B15" s="30" t="s">
        <v>931</v>
      </c>
      <c r="C15" s="30" t="s">
        <v>932</v>
      </c>
    </row>
    <row r="16" spans="1:3" x14ac:dyDescent="0.35">
      <c r="A16" s="7">
        <v>13</v>
      </c>
      <c r="B16" s="30" t="s">
        <v>933</v>
      </c>
      <c r="C16" s="30" t="s">
        <v>934</v>
      </c>
    </row>
    <row r="17" spans="1:3" x14ac:dyDescent="0.35">
      <c r="A17" s="7">
        <v>14</v>
      </c>
      <c r="B17" s="30" t="s">
        <v>935</v>
      </c>
      <c r="C17" s="30" t="s">
        <v>936</v>
      </c>
    </row>
    <row r="18" spans="1:3" x14ac:dyDescent="0.35">
      <c r="A18" s="7">
        <v>15</v>
      </c>
      <c r="B18" s="30" t="s">
        <v>937</v>
      </c>
      <c r="C18" s="30" t="s">
        <v>938</v>
      </c>
    </row>
    <row r="19" spans="1:3" x14ac:dyDescent="0.35">
      <c r="A19" s="7">
        <v>16</v>
      </c>
      <c r="B19" s="30" t="s">
        <v>939</v>
      </c>
      <c r="C19" s="30" t="s">
        <v>940</v>
      </c>
    </row>
    <row r="20" spans="1:3" x14ac:dyDescent="0.35">
      <c r="A20" s="7">
        <v>17</v>
      </c>
      <c r="B20" s="30" t="s">
        <v>941</v>
      </c>
      <c r="C20" s="30" t="s">
        <v>942</v>
      </c>
    </row>
    <row r="21" spans="1:3" x14ac:dyDescent="0.35">
      <c r="A21" s="7">
        <v>18</v>
      </c>
      <c r="B21" s="30" t="s">
        <v>943</v>
      </c>
      <c r="C21" s="30" t="s">
        <v>944</v>
      </c>
    </row>
    <row r="22" spans="1:3" x14ac:dyDescent="0.35">
      <c r="A22" s="7">
        <v>19</v>
      </c>
      <c r="B22" s="30" t="s">
        <v>945</v>
      </c>
      <c r="C22" s="30" t="s">
        <v>946</v>
      </c>
    </row>
    <row r="23" spans="1:3" x14ac:dyDescent="0.35">
      <c r="A23" s="7">
        <v>20</v>
      </c>
      <c r="B23" s="30" t="s">
        <v>947</v>
      </c>
      <c r="C23" s="30" t="s">
        <v>948</v>
      </c>
    </row>
    <row r="24" spans="1:3" x14ac:dyDescent="0.35">
      <c r="A24" s="7">
        <v>21</v>
      </c>
      <c r="B24" s="30" t="s">
        <v>949</v>
      </c>
      <c r="C24" s="30" t="s">
        <v>950</v>
      </c>
    </row>
    <row r="25" spans="1:3" x14ac:dyDescent="0.35">
      <c r="A25" s="7">
        <v>22</v>
      </c>
      <c r="B25" s="30" t="s">
        <v>951</v>
      </c>
      <c r="C25" s="30" t="s">
        <v>952</v>
      </c>
    </row>
    <row r="26" spans="1:3" x14ac:dyDescent="0.35">
      <c r="A26" s="7">
        <v>23</v>
      </c>
      <c r="B26" s="30" t="s">
        <v>953</v>
      </c>
      <c r="C26" s="30" t="s">
        <v>954</v>
      </c>
    </row>
    <row r="27" spans="1:3" x14ac:dyDescent="0.35">
      <c r="A27" s="7">
        <v>24</v>
      </c>
      <c r="B27" s="30" t="s">
        <v>955</v>
      </c>
      <c r="C27" s="30" t="s">
        <v>956</v>
      </c>
    </row>
    <row r="28" spans="1:3" x14ac:dyDescent="0.35">
      <c r="A28" s="7">
        <v>25</v>
      </c>
      <c r="B28" s="30" t="s">
        <v>957</v>
      </c>
      <c r="C28" s="30" t="s">
        <v>958</v>
      </c>
    </row>
    <row r="29" spans="1:3" x14ac:dyDescent="0.35">
      <c r="A29" s="7">
        <v>26</v>
      </c>
      <c r="B29" s="30" t="s">
        <v>959</v>
      </c>
      <c r="C29" s="30" t="s">
        <v>960</v>
      </c>
    </row>
    <row r="30" spans="1:3" x14ac:dyDescent="0.35">
      <c r="A30" s="7">
        <v>27</v>
      </c>
      <c r="B30" s="30" t="s">
        <v>961</v>
      </c>
      <c r="C30" s="30" t="s">
        <v>962</v>
      </c>
    </row>
    <row r="31" spans="1:3" x14ac:dyDescent="0.35">
      <c r="A31" s="7">
        <v>28</v>
      </c>
      <c r="B31" s="30" t="s">
        <v>963</v>
      </c>
      <c r="C31" s="30" t="s">
        <v>964</v>
      </c>
    </row>
    <row r="32" spans="1:3" x14ac:dyDescent="0.35">
      <c r="A32" s="7">
        <v>29</v>
      </c>
      <c r="B32" s="30" t="s">
        <v>965</v>
      </c>
      <c r="C32" s="30" t="s">
        <v>966</v>
      </c>
    </row>
    <row r="33" spans="1:3" x14ac:dyDescent="0.35">
      <c r="A33" s="7">
        <v>30</v>
      </c>
      <c r="B33" s="30" t="s">
        <v>967</v>
      </c>
      <c r="C33" s="30" t="s">
        <v>968</v>
      </c>
    </row>
    <row r="34" spans="1:3" x14ac:dyDescent="0.35">
      <c r="A34" s="7">
        <v>31</v>
      </c>
      <c r="B34" s="30" t="s">
        <v>969</v>
      </c>
      <c r="C34" s="30" t="s">
        <v>970</v>
      </c>
    </row>
    <row r="35" spans="1:3" x14ac:dyDescent="0.35">
      <c r="A35" s="7">
        <v>32</v>
      </c>
      <c r="B35" s="30" t="s">
        <v>971</v>
      </c>
      <c r="C35" s="30" t="s">
        <v>972</v>
      </c>
    </row>
    <row r="36" spans="1:3" x14ac:dyDescent="0.35">
      <c r="A36" s="7">
        <v>33</v>
      </c>
      <c r="B36" s="30" t="s">
        <v>973</v>
      </c>
      <c r="C36" s="30" t="s">
        <v>974</v>
      </c>
    </row>
    <row r="37" spans="1:3" x14ac:dyDescent="0.35">
      <c r="A37" s="7">
        <v>34</v>
      </c>
      <c r="B37" s="30" t="s">
        <v>975</v>
      </c>
      <c r="C37" s="30" t="s">
        <v>976</v>
      </c>
    </row>
    <row r="38" spans="1:3" x14ac:dyDescent="0.35">
      <c r="A38" s="7">
        <v>35</v>
      </c>
      <c r="B38" s="30" t="s">
        <v>977</v>
      </c>
      <c r="C38" s="30" t="s">
        <v>978</v>
      </c>
    </row>
    <row r="39" spans="1:3" x14ac:dyDescent="0.35">
      <c r="A39" s="7">
        <v>36</v>
      </c>
      <c r="B39" s="30" t="s">
        <v>979</v>
      </c>
      <c r="C39" s="30" t="s">
        <v>980</v>
      </c>
    </row>
    <row r="40" spans="1:3" x14ac:dyDescent="0.35">
      <c r="A40" s="7">
        <v>37</v>
      </c>
      <c r="B40" s="30" t="s">
        <v>981</v>
      </c>
      <c r="C40" s="30" t="s">
        <v>982</v>
      </c>
    </row>
    <row r="41" spans="1:3" x14ac:dyDescent="0.35">
      <c r="A41" s="7">
        <v>38</v>
      </c>
      <c r="B41" s="30" t="s">
        <v>983</v>
      </c>
      <c r="C41" s="30" t="s">
        <v>984</v>
      </c>
    </row>
    <row r="42" spans="1:3" x14ac:dyDescent="0.35">
      <c r="A42" s="7">
        <v>39</v>
      </c>
      <c r="B42" s="30" t="s">
        <v>985</v>
      </c>
      <c r="C42" s="30" t="s">
        <v>986</v>
      </c>
    </row>
    <row r="43" spans="1:3" x14ac:dyDescent="0.35">
      <c r="A43" s="7">
        <v>40</v>
      </c>
      <c r="B43" s="30" t="s">
        <v>987</v>
      </c>
      <c r="C43" s="30" t="s">
        <v>988</v>
      </c>
    </row>
    <row r="44" spans="1:3" x14ac:dyDescent="0.35">
      <c r="A44" s="7">
        <v>41</v>
      </c>
      <c r="B44" s="30" t="s">
        <v>989</v>
      </c>
      <c r="C44" s="30" t="s">
        <v>990</v>
      </c>
    </row>
    <row r="45" spans="1:3" x14ac:dyDescent="0.35">
      <c r="A45" s="7">
        <v>42</v>
      </c>
      <c r="B45" s="30" t="s">
        <v>991</v>
      </c>
      <c r="C45" s="30" t="s">
        <v>992</v>
      </c>
    </row>
    <row r="46" spans="1:3" x14ac:dyDescent="0.35">
      <c r="A46" s="7">
        <v>43</v>
      </c>
      <c r="B46" s="30" t="s">
        <v>993</v>
      </c>
      <c r="C46" s="30" t="s">
        <v>994</v>
      </c>
    </row>
    <row r="47" spans="1:3" x14ac:dyDescent="0.35">
      <c r="A47" s="7">
        <v>44</v>
      </c>
      <c r="B47" s="30" t="s">
        <v>995</v>
      </c>
      <c r="C47" s="30" t="s">
        <v>996</v>
      </c>
    </row>
    <row r="48" spans="1:3" x14ac:dyDescent="0.35">
      <c r="A48" s="7">
        <v>45</v>
      </c>
      <c r="B48" s="30" t="s">
        <v>997</v>
      </c>
      <c r="C48" s="30" t="s">
        <v>998</v>
      </c>
    </row>
    <row r="49" spans="1:3" x14ac:dyDescent="0.35">
      <c r="A49" s="7">
        <v>46</v>
      </c>
      <c r="B49" s="30" t="s">
        <v>999</v>
      </c>
      <c r="C49" s="30" t="s">
        <v>1000</v>
      </c>
    </row>
    <row r="50" spans="1:3" x14ac:dyDescent="0.35">
      <c r="A50" s="7">
        <v>47</v>
      </c>
      <c r="B50" s="30" t="s">
        <v>1001</v>
      </c>
      <c r="C50" s="30" t="s">
        <v>1002</v>
      </c>
    </row>
    <row r="51" spans="1:3" x14ac:dyDescent="0.35">
      <c r="A51" s="7">
        <v>48</v>
      </c>
      <c r="B51" s="30" t="s">
        <v>1003</v>
      </c>
      <c r="C51" s="30" t="s">
        <v>1004</v>
      </c>
    </row>
    <row r="52" spans="1:3" x14ac:dyDescent="0.35">
      <c r="A52" s="7">
        <v>49</v>
      </c>
      <c r="B52" s="30" t="s">
        <v>1005</v>
      </c>
      <c r="C52" s="30" t="s">
        <v>1006</v>
      </c>
    </row>
    <row r="53" spans="1:3" x14ac:dyDescent="0.35">
      <c r="A53" s="7">
        <v>50</v>
      </c>
      <c r="B53" s="30" t="s">
        <v>1007</v>
      </c>
      <c r="C53" s="30" t="s">
        <v>1008</v>
      </c>
    </row>
    <row r="54" spans="1:3" x14ac:dyDescent="0.35">
      <c r="A54" s="7">
        <v>51</v>
      </c>
      <c r="B54" s="30" t="s">
        <v>1009</v>
      </c>
      <c r="C54" s="30" t="s">
        <v>1010</v>
      </c>
    </row>
    <row r="55" spans="1:3" x14ac:dyDescent="0.35">
      <c r="A55" s="7">
        <v>52</v>
      </c>
      <c r="B55" s="30" t="s">
        <v>1011</v>
      </c>
      <c r="C55" s="30" t="s">
        <v>1012</v>
      </c>
    </row>
    <row r="56" spans="1:3" x14ac:dyDescent="0.35">
      <c r="A56" s="7">
        <v>53</v>
      </c>
      <c r="B56" s="30" t="s">
        <v>1013</v>
      </c>
      <c r="C56" s="30" t="s">
        <v>1014</v>
      </c>
    </row>
    <row r="57" spans="1:3" x14ac:dyDescent="0.35">
      <c r="A57" s="7">
        <v>54</v>
      </c>
      <c r="B57" s="30" t="s">
        <v>1015</v>
      </c>
      <c r="C57" s="30" t="s">
        <v>1016</v>
      </c>
    </row>
    <row r="58" spans="1:3" x14ac:dyDescent="0.35">
      <c r="A58" s="7">
        <v>55</v>
      </c>
      <c r="B58" s="30" t="s">
        <v>1017</v>
      </c>
      <c r="C58" s="30" t="s">
        <v>1018</v>
      </c>
    </row>
    <row r="59" spans="1:3" x14ac:dyDescent="0.35">
      <c r="A59" s="7">
        <v>56</v>
      </c>
      <c r="B59" s="30" t="s">
        <v>1019</v>
      </c>
      <c r="C59" s="30" t="s">
        <v>1020</v>
      </c>
    </row>
    <row r="60" spans="1:3" x14ac:dyDescent="0.35">
      <c r="A60" s="7">
        <v>57</v>
      </c>
      <c r="B60" s="30" t="s">
        <v>1021</v>
      </c>
      <c r="C60" s="30" t="s">
        <v>1022</v>
      </c>
    </row>
    <row r="61" spans="1:3" x14ac:dyDescent="0.35">
      <c r="A61" s="7">
        <v>58</v>
      </c>
      <c r="B61" s="30" t="s">
        <v>1023</v>
      </c>
      <c r="C61" s="30" t="s">
        <v>1024</v>
      </c>
    </row>
    <row r="62" spans="1:3" x14ac:dyDescent="0.35">
      <c r="A62" s="7">
        <v>59</v>
      </c>
      <c r="B62" s="30" t="s">
        <v>1025</v>
      </c>
      <c r="C62" s="30" t="s">
        <v>1026</v>
      </c>
    </row>
    <row r="63" spans="1:3" x14ac:dyDescent="0.35">
      <c r="A63" s="7">
        <v>60</v>
      </c>
      <c r="B63" s="30" t="s">
        <v>1027</v>
      </c>
      <c r="C63" s="30" t="s">
        <v>1028</v>
      </c>
    </row>
    <row r="64" spans="1:3" x14ac:dyDescent="0.35">
      <c r="A64" s="7">
        <v>61</v>
      </c>
      <c r="B64" s="30" t="s">
        <v>1029</v>
      </c>
      <c r="C64" s="30" t="s">
        <v>1030</v>
      </c>
    </row>
    <row r="65" spans="1:3" x14ac:dyDescent="0.35">
      <c r="A65" s="7">
        <v>62</v>
      </c>
      <c r="B65" s="30" t="s">
        <v>1031</v>
      </c>
      <c r="C65" s="30" t="s">
        <v>1032</v>
      </c>
    </row>
    <row r="66" spans="1:3" x14ac:dyDescent="0.35">
      <c r="A66" s="7">
        <v>63</v>
      </c>
      <c r="B66" s="30" t="s">
        <v>1033</v>
      </c>
      <c r="C66" s="30" t="s">
        <v>1034</v>
      </c>
    </row>
    <row r="67" spans="1:3" x14ac:dyDescent="0.35">
      <c r="A67" s="7">
        <v>64</v>
      </c>
      <c r="B67" s="30" t="s">
        <v>1035</v>
      </c>
      <c r="C67" s="30" t="s">
        <v>1036</v>
      </c>
    </row>
    <row r="68" spans="1:3" x14ac:dyDescent="0.35">
      <c r="A68" s="7">
        <v>65</v>
      </c>
      <c r="B68" s="30" t="s">
        <v>1037</v>
      </c>
      <c r="C68" s="30" t="s">
        <v>1038</v>
      </c>
    </row>
    <row r="69" spans="1:3" x14ac:dyDescent="0.35">
      <c r="A69" s="7">
        <v>66</v>
      </c>
      <c r="B69" s="30" t="s">
        <v>1039</v>
      </c>
      <c r="C69" s="30" t="s">
        <v>1040</v>
      </c>
    </row>
    <row r="70" spans="1:3" x14ac:dyDescent="0.35">
      <c r="A70" s="7">
        <v>67</v>
      </c>
      <c r="B70" s="30" t="s">
        <v>1041</v>
      </c>
      <c r="C70" s="30" t="s">
        <v>1042</v>
      </c>
    </row>
    <row r="71" spans="1:3" x14ac:dyDescent="0.35">
      <c r="A71" s="7">
        <v>68</v>
      </c>
      <c r="B71" s="30" t="s">
        <v>1043</v>
      </c>
      <c r="C71" s="30" t="s">
        <v>1044</v>
      </c>
    </row>
    <row r="72" spans="1:3" x14ac:dyDescent="0.35">
      <c r="A72" s="7">
        <v>69</v>
      </c>
      <c r="B72" s="30" t="s">
        <v>1045</v>
      </c>
      <c r="C72" s="30" t="s">
        <v>1046</v>
      </c>
    </row>
    <row r="73" spans="1:3" x14ac:dyDescent="0.35">
      <c r="A73" s="7">
        <v>70</v>
      </c>
      <c r="B73" s="30" t="s">
        <v>1047</v>
      </c>
      <c r="C73" s="30" t="s">
        <v>1048</v>
      </c>
    </row>
    <row r="74" spans="1:3" x14ac:dyDescent="0.35">
      <c r="A74" s="7">
        <v>71</v>
      </c>
      <c r="B74" s="30" t="s">
        <v>1049</v>
      </c>
      <c r="C74" s="30" t="s">
        <v>1050</v>
      </c>
    </row>
    <row r="75" spans="1:3" x14ac:dyDescent="0.35">
      <c r="A75" s="7">
        <v>72</v>
      </c>
      <c r="B75" s="30" t="s">
        <v>1051</v>
      </c>
      <c r="C75" s="30" t="s">
        <v>1052</v>
      </c>
    </row>
    <row r="76" spans="1:3" x14ac:dyDescent="0.35">
      <c r="A76" s="7">
        <v>73</v>
      </c>
      <c r="B76" s="30" t="s">
        <v>1053</v>
      </c>
      <c r="C76" s="30" t="s">
        <v>1054</v>
      </c>
    </row>
    <row r="77" spans="1:3" x14ac:dyDescent="0.35">
      <c r="A77" s="7">
        <v>74</v>
      </c>
      <c r="B77" s="30" t="s">
        <v>1055</v>
      </c>
      <c r="C77" s="30" t="s">
        <v>1056</v>
      </c>
    </row>
    <row r="78" spans="1:3" x14ac:dyDescent="0.35">
      <c r="A78" s="7">
        <v>75</v>
      </c>
      <c r="B78" s="30" t="s">
        <v>1057</v>
      </c>
      <c r="C78" s="30" t="s">
        <v>1058</v>
      </c>
    </row>
    <row r="79" spans="1:3" x14ac:dyDescent="0.35">
      <c r="A79" s="7">
        <v>76</v>
      </c>
      <c r="B79" s="30" t="s">
        <v>1059</v>
      </c>
      <c r="C79" s="30" t="s">
        <v>1060</v>
      </c>
    </row>
    <row r="80" spans="1:3" x14ac:dyDescent="0.35">
      <c r="A80" s="7">
        <v>77</v>
      </c>
      <c r="B80" s="30" t="s">
        <v>1061</v>
      </c>
      <c r="C80" s="30" t="s">
        <v>1062</v>
      </c>
    </row>
    <row r="81" spans="1:3" ht="15" thickBot="1" x14ac:dyDescent="0.4">
      <c r="A81" s="10">
        <v>78</v>
      </c>
      <c r="B81" s="32" t="s">
        <v>1063</v>
      </c>
      <c r="C81" s="32" t="s">
        <v>1064</v>
      </c>
    </row>
  </sheetData>
  <mergeCells count="1">
    <mergeCell ref="A1:C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7A1F2-E25D-4E82-9978-3F8F396FBB06}">
  <dimension ref="A1:C81"/>
  <sheetViews>
    <sheetView workbookViewId="0">
      <selection activeCell="L19" sqref="L19"/>
    </sheetView>
  </sheetViews>
  <sheetFormatPr baseColWidth="10" defaultRowHeight="14.5" x14ac:dyDescent="0.35"/>
  <sheetData>
    <row r="1" spans="1:3" x14ac:dyDescent="0.35">
      <c r="A1" s="34" t="s">
        <v>1065</v>
      </c>
      <c r="B1" s="35"/>
      <c r="C1" s="36"/>
    </row>
    <row r="2" spans="1:3" ht="15" thickBot="1" x14ac:dyDescent="0.4">
      <c r="A2" s="37"/>
      <c r="B2" s="38"/>
      <c r="C2" s="39"/>
    </row>
    <row r="3" spans="1:3" x14ac:dyDescent="0.35">
      <c r="A3" s="40" t="s">
        <v>0</v>
      </c>
      <c r="B3" s="41" t="s">
        <v>1</v>
      </c>
      <c r="C3" s="42" t="s">
        <v>2</v>
      </c>
    </row>
    <row r="4" spans="1:3" x14ac:dyDescent="0.35">
      <c r="A4" s="7">
        <v>1</v>
      </c>
      <c r="B4" s="30" t="s">
        <v>1066</v>
      </c>
      <c r="C4" s="30" t="s">
        <v>910</v>
      </c>
    </row>
    <row r="5" spans="1:3" x14ac:dyDescent="0.35">
      <c r="A5" s="7">
        <v>2</v>
      </c>
      <c r="B5" s="30" t="s">
        <v>1067</v>
      </c>
      <c r="C5" s="30" t="s">
        <v>912</v>
      </c>
    </row>
    <row r="6" spans="1:3" x14ac:dyDescent="0.35">
      <c r="A6" s="7">
        <v>3</v>
      </c>
      <c r="B6" s="30" t="s">
        <v>1068</v>
      </c>
      <c r="C6" s="30" t="s">
        <v>914</v>
      </c>
    </row>
    <row r="7" spans="1:3" x14ac:dyDescent="0.35">
      <c r="A7" s="7">
        <v>4</v>
      </c>
      <c r="B7" s="30" t="s">
        <v>1069</v>
      </c>
      <c r="C7" s="30" t="s">
        <v>916</v>
      </c>
    </row>
    <row r="8" spans="1:3" x14ac:dyDescent="0.35">
      <c r="A8" s="7">
        <v>5</v>
      </c>
      <c r="B8" s="30" t="s">
        <v>1070</v>
      </c>
      <c r="C8" s="30" t="s">
        <v>918</v>
      </c>
    </row>
    <row r="9" spans="1:3" x14ac:dyDescent="0.35">
      <c r="A9" s="7">
        <v>6</v>
      </c>
      <c r="B9" s="30" t="s">
        <v>1071</v>
      </c>
      <c r="C9" s="30" t="s">
        <v>920</v>
      </c>
    </row>
    <row r="10" spans="1:3" x14ac:dyDescent="0.35">
      <c r="A10" s="7">
        <v>7</v>
      </c>
      <c r="B10" s="30" t="s">
        <v>1072</v>
      </c>
      <c r="C10" s="30" t="s">
        <v>922</v>
      </c>
    </row>
    <row r="11" spans="1:3" x14ac:dyDescent="0.35">
      <c r="A11" s="7">
        <v>8</v>
      </c>
      <c r="B11" s="30" t="s">
        <v>1073</v>
      </c>
      <c r="C11" s="30" t="s">
        <v>924</v>
      </c>
    </row>
    <row r="12" spans="1:3" x14ac:dyDescent="0.35">
      <c r="A12" s="7">
        <v>9</v>
      </c>
      <c r="B12" s="30" t="s">
        <v>1074</v>
      </c>
      <c r="C12" s="30" t="s">
        <v>926</v>
      </c>
    </row>
    <row r="13" spans="1:3" x14ac:dyDescent="0.35">
      <c r="A13" s="7">
        <v>10</v>
      </c>
      <c r="B13" s="30" t="s">
        <v>1075</v>
      </c>
      <c r="C13" s="30" t="s">
        <v>928</v>
      </c>
    </row>
    <row r="14" spans="1:3" x14ac:dyDescent="0.35">
      <c r="A14" s="7">
        <v>11</v>
      </c>
      <c r="B14" s="30" t="s">
        <v>1076</v>
      </c>
      <c r="C14" s="30" t="s">
        <v>930</v>
      </c>
    </row>
    <row r="15" spans="1:3" x14ac:dyDescent="0.35">
      <c r="A15" s="7">
        <v>12</v>
      </c>
      <c r="B15" s="30" t="s">
        <v>1077</v>
      </c>
      <c r="C15" s="30" t="s">
        <v>932</v>
      </c>
    </row>
    <row r="16" spans="1:3" x14ac:dyDescent="0.35">
      <c r="A16" s="7">
        <v>13</v>
      </c>
      <c r="B16" s="30" t="s">
        <v>1078</v>
      </c>
      <c r="C16" s="30" t="s">
        <v>934</v>
      </c>
    </row>
    <row r="17" spans="1:3" x14ac:dyDescent="0.35">
      <c r="A17" s="7">
        <v>14</v>
      </c>
      <c r="B17" s="30" t="s">
        <v>1079</v>
      </c>
      <c r="C17" s="30" t="s">
        <v>936</v>
      </c>
    </row>
    <row r="18" spans="1:3" x14ac:dyDescent="0.35">
      <c r="A18" s="7">
        <v>15</v>
      </c>
      <c r="B18" s="30" t="s">
        <v>1080</v>
      </c>
      <c r="C18" s="30" t="s">
        <v>938</v>
      </c>
    </row>
    <row r="19" spans="1:3" x14ac:dyDescent="0.35">
      <c r="A19" s="7">
        <v>16</v>
      </c>
      <c r="B19" s="30" t="s">
        <v>1081</v>
      </c>
      <c r="C19" s="30" t="s">
        <v>940</v>
      </c>
    </row>
    <row r="20" spans="1:3" x14ac:dyDescent="0.35">
      <c r="A20" s="7">
        <v>17</v>
      </c>
      <c r="B20" s="30" t="s">
        <v>1082</v>
      </c>
      <c r="C20" s="30" t="s">
        <v>942</v>
      </c>
    </row>
    <row r="21" spans="1:3" x14ac:dyDescent="0.35">
      <c r="A21" s="7">
        <v>18</v>
      </c>
      <c r="B21" s="30" t="s">
        <v>1083</v>
      </c>
      <c r="C21" s="30" t="s">
        <v>944</v>
      </c>
    </row>
    <row r="22" spans="1:3" x14ac:dyDescent="0.35">
      <c r="A22" s="7">
        <v>19</v>
      </c>
      <c r="B22" s="30" t="s">
        <v>1084</v>
      </c>
      <c r="C22" s="30" t="s">
        <v>946</v>
      </c>
    </row>
    <row r="23" spans="1:3" x14ac:dyDescent="0.35">
      <c r="A23" s="7">
        <v>20</v>
      </c>
      <c r="B23" s="30" t="s">
        <v>1085</v>
      </c>
      <c r="C23" s="30" t="s">
        <v>948</v>
      </c>
    </row>
    <row r="24" spans="1:3" x14ac:dyDescent="0.35">
      <c r="A24" s="7">
        <v>21</v>
      </c>
      <c r="B24" s="30" t="s">
        <v>1086</v>
      </c>
      <c r="C24" s="30" t="s">
        <v>950</v>
      </c>
    </row>
    <row r="25" spans="1:3" x14ac:dyDescent="0.35">
      <c r="A25" s="7">
        <v>22</v>
      </c>
      <c r="B25" s="30" t="s">
        <v>1087</v>
      </c>
      <c r="C25" s="30" t="s">
        <v>952</v>
      </c>
    </row>
    <row r="26" spans="1:3" x14ac:dyDescent="0.35">
      <c r="A26" s="7">
        <v>23</v>
      </c>
      <c r="B26" s="30" t="s">
        <v>1088</v>
      </c>
      <c r="C26" s="30" t="s">
        <v>954</v>
      </c>
    </row>
    <row r="27" spans="1:3" x14ac:dyDescent="0.35">
      <c r="A27" s="7">
        <v>24</v>
      </c>
      <c r="B27" s="30" t="s">
        <v>1089</v>
      </c>
      <c r="C27" s="30" t="s">
        <v>956</v>
      </c>
    </row>
    <row r="28" spans="1:3" x14ac:dyDescent="0.35">
      <c r="A28" s="7">
        <v>25</v>
      </c>
      <c r="B28" s="30" t="s">
        <v>1090</v>
      </c>
      <c r="C28" s="30" t="s">
        <v>958</v>
      </c>
    </row>
    <row r="29" spans="1:3" x14ac:dyDescent="0.35">
      <c r="A29" s="7">
        <v>26</v>
      </c>
      <c r="B29" s="30" t="s">
        <v>1091</v>
      </c>
      <c r="C29" s="30" t="s">
        <v>960</v>
      </c>
    </row>
    <row r="30" spans="1:3" x14ac:dyDescent="0.35">
      <c r="A30" s="7">
        <v>27</v>
      </c>
      <c r="B30" s="30" t="s">
        <v>1092</v>
      </c>
      <c r="C30" s="30" t="s">
        <v>962</v>
      </c>
    </row>
    <row r="31" spans="1:3" x14ac:dyDescent="0.35">
      <c r="A31" s="7">
        <v>28</v>
      </c>
      <c r="B31" s="30" t="s">
        <v>1093</v>
      </c>
      <c r="C31" s="30" t="s">
        <v>964</v>
      </c>
    </row>
    <row r="32" spans="1:3" x14ac:dyDescent="0.35">
      <c r="A32" s="7">
        <v>29</v>
      </c>
      <c r="B32" s="30" t="s">
        <v>1094</v>
      </c>
      <c r="C32" s="30" t="s">
        <v>966</v>
      </c>
    </row>
    <row r="33" spans="1:3" x14ac:dyDescent="0.35">
      <c r="A33" s="7">
        <v>30</v>
      </c>
      <c r="B33" s="30" t="s">
        <v>1095</v>
      </c>
      <c r="C33" s="30" t="s">
        <v>968</v>
      </c>
    </row>
    <row r="34" spans="1:3" x14ac:dyDescent="0.35">
      <c r="A34" s="7">
        <v>31</v>
      </c>
      <c r="B34" s="30" t="s">
        <v>1096</v>
      </c>
      <c r="C34" s="30" t="s">
        <v>970</v>
      </c>
    </row>
    <row r="35" spans="1:3" x14ac:dyDescent="0.35">
      <c r="A35" s="7">
        <v>32</v>
      </c>
      <c r="B35" s="30" t="s">
        <v>1097</v>
      </c>
      <c r="C35" s="30" t="s">
        <v>972</v>
      </c>
    </row>
    <row r="36" spans="1:3" x14ac:dyDescent="0.35">
      <c r="A36" s="7">
        <v>33</v>
      </c>
      <c r="B36" s="30" t="s">
        <v>1098</v>
      </c>
      <c r="C36" s="30" t="s">
        <v>974</v>
      </c>
    </row>
    <row r="37" spans="1:3" x14ac:dyDescent="0.35">
      <c r="A37" s="7">
        <v>34</v>
      </c>
      <c r="B37" s="30" t="s">
        <v>1099</v>
      </c>
      <c r="C37" s="30" t="s">
        <v>976</v>
      </c>
    </row>
    <row r="38" spans="1:3" x14ac:dyDescent="0.35">
      <c r="A38" s="7">
        <v>35</v>
      </c>
      <c r="B38" s="30" t="s">
        <v>1100</v>
      </c>
      <c r="C38" s="30" t="s">
        <v>978</v>
      </c>
    </row>
    <row r="39" spans="1:3" x14ac:dyDescent="0.35">
      <c r="A39" s="7">
        <v>36</v>
      </c>
      <c r="B39" s="30" t="s">
        <v>1101</v>
      </c>
      <c r="C39" s="30" t="s">
        <v>980</v>
      </c>
    </row>
    <row r="40" spans="1:3" x14ac:dyDescent="0.35">
      <c r="A40" s="7">
        <v>37</v>
      </c>
      <c r="B40" s="30" t="s">
        <v>1102</v>
      </c>
      <c r="C40" s="30" t="s">
        <v>982</v>
      </c>
    </row>
    <row r="41" spans="1:3" x14ac:dyDescent="0.35">
      <c r="A41" s="7">
        <v>38</v>
      </c>
      <c r="B41" s="30" t="s">
        <v>1103</v>
      </c>
      <c r="C41" s="30" t="s">
        <v>984</v>
      </c>
    </row>
    <row r="42" spans="1:3" x14ac:dyDescent="0.35">
      <c r="A42" s="7">
        <v>39</v>
      </c>
      <c r="B42" s="30" t="s">
        <v>1104</v>
      </c>
      <c r="C42" s="30" t="s">
        <v>986</v>
      </c>
    </row>
    <row r="43" spans="1:3" x14ac:dyDescent="0.35">
      <c r="A43" s="7">
        <v>40</v>
      </c>
      <c r="B43" s="30" t="s">
        <v>1105</v>
      </c>
      <c r="C43" s="30" t="s">
        <v>988</v>
      </c>
    </row>
    <row r="44" spans="1:3" x14ac:dyDescent="0.35">
      <c r="A44" s="7">
        <v>41</v>
      </c>
      <c r="B44" s="30" t="s">
        <v>1106</v>
      </c>
      <c r="C44" s="30" t="s">
        <v>990</v>
      </c>
    </row>
    <row r="45" spans="1:3" x14ac:dyDescent="0.35">
      <c r="A45" s="7">
        <v>42</v>
      </c>
      <c r="B45" s="30" t="s">
        <v>1107</v>
      </c>
      <c r="C45" s="30" t="s">
        <v>992</v>
      </c>
    </row>
    <row r="46" spans="1:3" x14ac:dyDescent="0.35">
      <c r="A46" s="7">
        <v>43</v>
      </c>
      <c r="B46" s="30" t="s">
        <v>1108</v>
      </c>
      <c r="C46" s="30" t="s">
        <v>994</v>
      </c>
    </row>
    <row r="47" spans="1:3" x14ac:dyDescent="0.35">
      <c r="A47" s="7">
        <v>44</v>
      </c>
      <c r="B47" s="30" t="s">
        <v>1109</v>
      </c>
      <c r="C47" s="30" t="s">
        <v>996</v>
      </c>
    </row>
    <row r="48" spans="1:3" x14ac:dyDescent="0.35">
      <c r="A48" s="7">
        <v>45</v>
      </c>
      <c r="B48" s="30" t="s">
        <v>1110</v>
      </c>
      <c r="C48" s="30" t="s">
        <v>998</v>
      </c>
    </row>
    <row r="49" spans="1:3" x14ac:dyDescent="0.35">
      <c r="A49" s="7">
        <v>46</v>
      </c>
      <c r="B49" s="30" t="s">
        <v>1111</v>
      </c>
      <c r="C49" s="30" t="s">
        <v>1000</v>
      </c>
    </row>
    <row r="50" spans="1:3" x14ac:dyDescent="0.35">
      <c r="A50" s="7">
        <v>47</v>
      </c>
      <c r="B50" s="30" t="s">
        <v>1112</v>
      </c>
      <c r="C50" s="30" t="s">
        <v>1002</v>
      </c>
    </row>
    <row r="51" spans="1:3" x14ac:dyDescent="0.35">
      <c r="A51" s="7">
        <v>48</v>
      </c>
      <c r="B51" s="30" t="s">
        <v>1113</v>
      </c>
      <c r="C51" s="30" t="s">
        <v>1004</v>
      </c>
    </row>
    <row r="52" spans="1:3" x14ac:dyDescent="0.35">
      <c r="A52" s="7">
        <v>49</v>
      </c>
      <c r="B52" s="30" t="s">
        <v>1114</v>
      </c>
      <c r="C52" s="30" t="s">
        <v>1006</v>
      </c>
    </row>
    <row r="53" spans="1:3" x14ac:dyDescent="0.35">
      <c r="A53" s="7">
        <v>50</v>
      </c>
      <c r="B53" s="30" t="s">
        <v>1115</v>
      </c>
      <c r="C53" s="30" t="s">
        <v>1008</v>
      </c>
    </row>
    <row r="54" spans="1:3" x14ac:dyDescent="0.35">
      <c r="A54" s="7">
        <v>51</v>
      </c>
      <c r="B54" s="30" t="s">
        <v>1116</v>
      </c>
      <c r="C54" s="30" t="s">
        <v>1010</v>
      </c>
    </row>
    <row r="55" spans="1:3" x14ac:dyDescent="0.35">
      <c r="A55" s="7">
        <v>52</v>
      </c>
      <c r="B55" s="30" t="s">
        <v>1117</v>
      </c>
      <c r="C55" s="30" t="s">
        <v>1012</v>
      </c>
    </row>
    <row r="56" spans="1:3" x14ac:dyDescent="0.35">
      <c r="A56" s="7">
        <v>53</v>
      </c>
      <c r="B56" s="30" t="s">
        <v>1118</v>
      </c>
      <c r="C56" s="30" t="s">
        <v>1014</v>
      </c>
    </row>
    <row r="57" spans="1:3" x14ac:dyDescent="0.35">
      <c r="A57" s="7">
        <v>54</v>
      </c>
      <c r="B57" s="30" t="s">
        <v>1119</v>
      </c>
      <c r="C57" s="30" t="s">
        <v>1016</v>
      </c>
    </row>
    <row r="58" spans="1:3" x14ac:dyDescent="0.35">
      <c r="A58" s="7">
        <v>55</v>
      </c>
      <c r="B58" s="30" t="s">
        <v>1120</v>
      </c>
      <c r="C58" s="30" t="s">
        <v>1018</v>
      </c>
    </row>
    <row r="59" spans="1:3" x14ac:dyDescent="0.35">
      <c r="A59" s="7">
        <v>56</v>
      </c>
      <c r="B59" s="30" t="s">
        <v>1121</v>
      </c>
      <c r="C59" s="30" t="s">
        <v>1020</v>
      </c>
    </row>
    <row r="60" spans="1:3" x14ac:dyDescent="0.35">
      <c r="A60" s="7">
        <v>57</v>
      </c>
      <c r="B60" s="30" t="s">
        <v>1122</v>
      </c>
      <c r="C60" s="30" t="s">
        <v>1022</v>
      </c>
    </row>
    <row r="61" spans="1:3" x14ac:dyDescent="0.35">
      <c r="A61" s="7">
        <v>58</v>
      </c>
      <c r="B61" s="30" t="s">
        <v>1123</v>
      </c>
      <c r="C61" s="30" t="s">
        <v>1024</v>
      </c>
    </row>
    <row r="62" spans="1:3" x14ac:dyDescent="0.35">
      <c r="A62" s="7">
        <v>59</v>
      </c>
      <c r="B62" s="30" t="s">
        <v>1124</v>
      </c>
      <c r="C62" s="30" t="s">
        <v>1026</v>
      </c>
    </row>
    <row r="63" spans="1:3" x14ac:dyDescent="0.35">
      <c r="A63" s="7">
        <v>60</v>
      </c>
      <c r="B63" s="30" t="s">
        <v>1125</v>
      </c>
      <c r="C63" s="30" t="s">
        <v>1028</v>
      </c>
    </row>
    <row r="64" spans="1:3" x14ac:dyDescent="0.35">
      <c r="A64" s="7">
        <v>61</v>
      </c>
      <c r="B64" s="30" t="s">
        <v>1126</v>
      </c>
      <c r="C64" s="30" t="s">
        <v>1030</v>
      </c>
    </row>
    <row r="65" spans="1:3" x14ac:dyDescent="0.35">
      <c r="A65" s="7">
        <v>62</v>
      </c>
      <c r="B65" s="30" t="s">
        <v>1127</v>
      </c>
      <c r="C65" s="30" t="s">
        <v>1032</v>
      </c>
    </row>
    <row r="66" spans="1:3" x14ac:dyDescent="0.35">
      <c r="A66" s="7">
        <v>63</v>
      </c>
      <c r="B66" s="30" t="s">
        <v>1128</v>
      </c>
      <c r="C66" s="30" t="s">
        <v>1034</v>
      </c>
    </row>
    <row r="67" spans="1:3" x14ac:dyDescent="0.35">
      <c r="A67" s="7">
        <v>64</v>
      </c>
      <c r="B67" s="30" t="s">
        <v>1129</v>
      </c>
      <c r="C67" s="30" t="s">
        <v>1036</v>
      </c>
    </row>
    <row r="68" spans="1:3" x14ac:dyDescent="0.35">
      <c r="A68" s="7">
        <v>65</v>
      </c>
      <c r="B68" s="30" t="s">
        <v>1130</v>
      </c>
      <c r="C68" s="30" t="s">
        <v>1038</v>
      </c>
    </row>
    <row r="69" spans="1:3" x14ac:dyDescent="0.35">
      <c r="A69" s="7">
        <v>66</v>
      </c>
      <c r="B69" s="30" t="s">
        <v>1131</v>
      </c>
      <c r="C69" s="30" t="s">
        <v>1040</v>
      </c>
    </row>
    <row r="70" spans="1:3" x14ac:dyDescent="0.35">
      <c r="A70" s="7">
        <v>67</v>
      </c>
      <c r="B70" s="30" t="s">
        <v>1132</v>
      </c>
      <c r="C70" s="30" t="s">
        <v>1042</v>
      </c>
    </row>
    <row r="71" spans="1:3" x14ac:dyDescent="0.35">
      <c r="A71" s="7">
        <v>68</v>
      </c>
      <c r="B71" s="30" t="s">
        <v>1133</v>
      </c>
      <c r="C71" s="30" t="s">
        <v>1044</v>
      </c>
    </row>
    <row r="72" spans="1:3" x14ac:dyDescent="0.35">
      <c r="A72" s="7">
        <v>69</v>
      </c>
      <c r="B72" s="30" t="s">
        <v>1134</v>
      </c>
      <c r="C72" s="30" t="s">
        <v>1046</v>
      </c>
    </row>
    <row r="73" spans="1:3" x14ac:dyDescent="0.35">
      <c r="A73" s="7">
        <v>70</v>
      </c>
      <c r="B73" s="30" t="s">
        <v>1135</v>
      </c>
      <c r="C73" s="30" t="s">
        <v>1048</v>
      </c>
    </row>
    <row r="74" spans="1:3" x14ac:dyDescent="0.35">
      <c r="A74" s="7">
        <v>71</v>
      </c>
      <c r="B74" s="30" t="s">
        <v>1136</v>
      </c>
      <c r="C74" s="30" t="s">
        <v>1050</v>
      </c>
    </row>
    <row r="75" spans="1:3" x14ac:dyDescent="0.35">
      <c r="A75" s="7">
        <v>72</v>
      </c>
      <c r="B75" s="30" t="s">
        <v>1137</v>
      </c>
      <c r="C75" s="30" t="s">
        <v>1052</v>
      </c>
    </row>
    <row r="76" spans="1:3" x14ac:dyDescent="0.35">
      <c r="A76" s="7">
        <v>73</v>
      </c>
      <c r="B76" s="30" t="s">
        <v>1138</v>
      </c>
      <c r="C76" s="30" t="s">
        <v>1054</v>
      </c>
    </row>
    <row r="77" spans="1:3" x14ac:dyDescent="0.35">
      <c r="A77" s="7">
        <v>74</v>
      </c>
      <c r="B77" s="30" t="s">
        <v>1139</v>
      </c>
      <c r="C77" s="30" t="s">
        <v>1056</v>
      </c>
    </row>
    <row r="78" spans="1:3" x14ac:dyDescent="0.35">
      <c r="A78" s="7">
        <v>75</v>
      </c>
      <c r="B78" s="30" t="s">
        <v>1140</v>
      </c>
      <c r="C78" s="30" t="s">
        <v>1058</v>
      </c>
    </row>
    <row r="79" spans="1:3" x14ac:dyDescent="0.35">
      <c r="A79" s="7">
        <v>76</v>
      </c>
      <c r="B79" s="30" t="s">
        <v>1141</v>
      </c>
      <c r="C79" s="30" t="s">
        <v>1060</v>
      </c>
    </row>
    <row r="80" spans="1:3" x14ac:dyDescent="0.35">
      <c r="A80" s="7">
        <v>77</v>
      </c>
      <c r="B80" s="30" t="s">
        <v>1142</v>
      </c>
      <c r="C80" s="30" t="s">
        <v>1062</v>
      </c>
    </row>
    <row r="81" spans="1:3" ht="15" thickBot="1" x14ac:dyDescent="0.4">
      <c r="A81" s="10">
        <v>78</v>
      </c>
      <c r="B81" s="32" t="s">
        <v>1143</v>
      </c>
      <c r="C81" s="32" t="s">
        <v>1064</v>
      </c>
    </row>
  </sheetData>
  <mergeCells count="1">
    <mergeCell ref="A1:C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088FD-9828-4BDF-9BA1-187166A5EF4A}">
  <dimension ref="A1:C81"/>
  <sheetViews>
    <sheetView workbookViewId="0">
      <selection activeCell="D1" sqref="D1"/>
    </sheetView>
  </sheetViews>
  <sheetFormatPr baseColWidth="10" defaultRowHeight="14.5" x14ac:dyDescent="0.35"/>
  <sheetData>
    <row r="1" spans="1:3" x14ac:dyDescent="0.35">
      <c r="A1" s="34" t="s">
        <v>1144</v>
      </c>
      <c r="B1" s="35"/>
      <c r="C1" s="36"/>
    </row>
    <row r="2" spans="1:3" ht="15" thickBot="1" x14ac:dyDescent="0.4">
      <c r="A2" s="37"/>
      <c r="B2" s="38"/>
      <c r="C2" s="39"/>
    </row>
    <row r="3" spans="1:3" x14ac:dyDescent="0.35">
      <c r="A3" s="40" t="s">
        <v>0</v>
      </c>
      <c r="B3" s="41" t="s">
        <v>1</v>
      </c>
      <c r="C3" s="42" t="s">
        <v>2</v>
      </c>
    </row>
    <row r="4" spans="1:3" x14ac:dyDescent="0.35">
      <c r="A4" s="7">
        <v>1</v>
      </c>
      <c r="B4" s="30" t="s">
        <v>1145</v>
      </c>
      <c r="C4" s="30" t="s">
        <v>910</v>
      </c>
    </row>
    <row r="5" spans="1:3" x14ac:dyDescent="0.35">
      <c r="A5" s="7">
        <v>2</v>
      </c>
      <c r="B5" s="30" t="s">
        <v>1146</v>
      </c>
      <c r="C5" s="30" t="s">
        <v>912</v>
      </c>
    </row>
    <row r="6" spans="1:3" x14ac:dyDescent="0.35">
      <c r="A6" s="7">
        <v>3</v>
      </c>
      <c r="B6" s="30" t="s">
        <v>1147</v>
      </c>
      <c r="C6" s="30" t="s">
        <v>914</v>
      </c>
    </row>
    <row r="7" spans="1:3" x14ac:dyDescent="0.35">
      <c r="A7" s="7">
        <v>4</v>
      </c>
      <c r="B7" s="30" t="s">
        <v>1148</v>
      </c>
      <c r="C7" s="30" t="s">
        <v>916</v>
      </c>
    </row>
    <row r="8" spans="1:3" x14ac:dyDescent="0.35">
      <c r="A8" s="7">
        <v>5</v>
      </c>
      <c r="B8" s="30" t="s">
        <v>1149</v>
      </c>
      <c r="C8" s="30" t="s">
        <v>918</v>
      </c>
    </row>
    <row r="9" spans="1:3" x14ac:dyDescent="0.35">
      <c r="A9" s="7">
        <v>6</v>
      </c>
      <c r="B9" s="30" t="s">
        <v>1150</v>
      </c>
      <c r="C9" s="30" t="s">
        <v>920</v>
      </c>
    </row>
    <row r="10" spans="1:3" x14ac:dyDescent="0.35">
      <c r="A10" s="7">
        <v>7</v>
      </c>
      <c r="B10" s="30" t="s">
        <v>1151</v>
      </c>
      <c r="C10" s="30" t="s">
        <v>922</v>
      </c>
    </row>
    <row r="11" spans="1:3" x14ac:dyDescent="0.35">
      <c r="A11" s="7">
        <v>8</v>
      </c>
      <c r="B11" s="30" t="s">
        <v>1152</v>
      </c>
      <c r="C11" s="30" t="s">
        <v>924</v>
      </c>
    </row>
    <row r="12" spans="1:3" x14ac:dyDescent="0.35">
      <c r="A12" s="7">
        <v>9</v>
      </c>
      <c r="B12" s="30" t="s">
        <v>1153</v>
      </c>
      <c r="C12" s="30" t="s">
        <v>926</v>
      </c>
    </row>
    <row r="13" spans="1:3" x14ac:dyDescent="0.35">
      <c r="A13" s="7">
        <v>10</v>
      </c>
      <c r="B13" s="30" t="s">
        <v>1154</v>
      </c>
      <c r="C13" s="30" t="s">
        <v>928</v>
      </c>
    </row>
    <row r="14" spans="1:3" x14ac:dyDescent="0.35">
      <c r="A14" s="7">
        <v>11</v>
      </c>
      <c r="B14" s="30" t="s">
        <v>1155</v>
      </c>
      <c r="C14" s="30" t="s">
        <v>930</v>
      </c>
    </row>
    <row r="15" spans="1:3" x14ac:dyDescent="0.35">
      <c r="A15" s="7">
        <v>12</v>
      </c>
      <c r="B15" s="30" t="s">
        <v>1156</v>
      </c>
      <c r="C15" s="30" t="s">
        <v>932</v>
      </c>
    </row>
    <row r="16" spans="1:3" x14ac:dyDescent="0.35">
      <c r="A16" s="7">
        <v>13</v>
      </c>
      <c r="B16" s="30" t="s">
        <v>1157</v>
      </c>
      <c r="C16" s="30" t="s">
        <v>934</v>
      </c>
    </row>
    <row r="17" spans="1:3" x14ac:dyDescent="0.35">
      <c r="A17" s="7">
        <v>14</v>
      </c>
      <c r="B17" s="30" t="s">
        <v>1158</v>
      </c>
      <c r="C17" s="30" t="s">
        <v>936</v>
      </c>
    </row>
    <row r="18" spans="1:3" x14ac:dyDescent="0.35">
      <c r="A18" s="7">
        <v>15</v>
      </c>
      <c r="B18" s="30" t="s">
        <v>1159</v>
      </c>
      <c r="C18" s="30" t="s">
        <v>938</v>
      </c>
    </row>
    <row r="19" spans="1:3" x14ac:dyDescent="0.35">
      <c r="A19" s="7">
        <v>16</v>
      </c>
      <c r="B19" s="30" t="s">
        <v>1160</v>
      </c>
      <c r="C19" s="30" t="s">
        <v>940</v>
      </c>
    </row>
    <row r="20" spans="1:3" x14ac:dyDescent="0.35">
      <c r="A20" s="7">
        <v>17</v>
      </c>
      <c r="B20" s="30" t="s">
        <v>1161</v>
      </c>
      <c r="C20" s="30" t="s">
        <v>942</v>
      </c>
    </row>
    <row r="21" spans="1:3" x14ac:dyDescent="0.35">
      <c r="A21" s="7">
        <v>18</v>
      </c>
      <c r="B21" s="30" t="s">
        <v>1162</v>
      </c>
      <c r="C21" s="30" t="s">
        <v>944</v>
      </c>
    </row>
    <row r="22" spans="1:3" x14ac:dyDescent="0.35">
      <c r="A22" s="7">
        <v>19</v>
      </c>
      <c r="B22" s="30" t="s">
        <v>1163</v>
      </c>
      <c r="C22" s="30" t="s">
        <v>946</v>
      </c>
    </row>
    <row r="23" spans="1:3" x14ac:dyDescent="0.35">
      <c r="A23" s="7">
        <v>20</v>
      </c>
      <c r="B23" s="30" t="s">
        <v>1164</v>
      </c>
      <c r="C23" s="30" t="s">
        <v>948</v>
      </c>
    </row>
    <row r="24" spans="1:3" x14ac:dyDescent="0.35">
      <c r="A24" s="7">
        <v>21</v>
      </c>
      <c r="B24" s="30" t="s">
        <v>1165</v>
      </c>
      <c r="C24" s="30" t="s">
        <v>950</v>
      </c>
    </row>
    <row r="25" spans="1:3" x14ac:dyDescent="0.35">
      <c r="A25" s="7">
        <v>22</v>
      </c>
      <c r="B25" s="30" t="s">
        <v>1166</v>
      </c>
      <c r="C25" s="30" t="s">
        <v>952</v>
      </c>
    </row>
    <row r="26" spans="1:3" x14ac:dyDescent="0.35">
      <c r="A26" s="7">
        <v>23</v>
      </c>
      <c r="B26" s="30" t="s">
        <v>1167</v>
      </c>
      <c r="C26" s="30" t="s">
        <v>954</v>
      </c>
    </row>
    <row r="27" spans="1:3" x14ac:dyDescent="0.35">
      <c r="A27" s="7">
        <v>24</v>
      </c>
      <c r="B27" s="30" t="s">
        <v>1168</v>
      </c>
      <c r="C27" s="30" t="s">
        <v>956</v>
      </c>
    </row>
    <row r="28" spans="1:3" x14ac:dyDescent="0.35">
      <c r="A28" s="7">
        <v>25</v>
      </c>
      <c r="B28" s="30" t="s">
        <v>1169</v>
      </c>
      <c r="C28" s="30" t="s">
        <v>958</v>
      </c>
    </row>
    <row r="29" spans="1:3" x14ac:dyDescent="0.35">
      <c r="A29" s="7">
        <v>26</v>
      </c>
      <c r="B29" s="30" t="s">
        <v>1170</v>
      </c>
      <c r="C29" s="30" t="s">
        <v>960</v>
      </c>
    </row>
    <row r="30" spans="1:3" x14ac:dyDescent="0.35">
      <c r="A30" s="7">
        <v>27</v>
      </c>
      <c r="B30" s="30" t="s">
        <v>1171</v>
      </c>
      <c r="C30" s="30" t="s">
        <v>962</v>
      </c>
    </row>
    <row r="31" spans="1:3" x14ac:dyDescent="0.35">
      <c r="A31" s="7">
        <v>28</v>
      </c>
      <c r="B31" s="30" t="s">
        <v>1172</v>
      </c>
      <c r="C31" s="30" t="s">
        <v>964</v>
      </c>
    </row>
    <row r="32" spans="1:3" x14ac:dyDescent="0.35">
      <c r="A32" s="7">
        <v>29</v>
      </c>
      <c r="B32" s="30" t="s">
        <v>1173</v>
      </c>
      <c r="C32" s="30" t="s">
        <v>966</v>
      </c>
    </row>
    <row r="33" spans="1:3" x14ac:dyDescent="0.35">
      <c r="A33" s="7">
        <v>30</v>
      </c>
      <c r="B33" s="30" t="s">
        <v>1174</v>
      </c>
      <c r="C33" s="30" t="s">
        <v>968</v>
      </c>
    </row>
    <row r="34" spans="1:3" x14ac:dyDescent="0.35">
      <c r="A34" s="7">
        <v>31</v>
      </c>
      <c r="B34" s="30" t="s">
        <v>1175</v>
      </c>
      <c r="C34" s="30" t="s">
        <v>970</v>
      </c>
    </row>
    <row r="35" spans="1:3" x14ac:dyDescent="0.35">
      <c r="A35" s="7">
        <v>32</v>
      </c>
      <c r="B35" s="30" t="s">
        <v>1176</v>
      </c>
      <c r="C35" s="30" t="s">
        <v>972</v>
      </c>
    </row>
    <row r="36" spans="1:3" x14ac:dyDescent="0.35">
      <c r="A36" s="7">
        <v>33</v>
      </c>
      <c r="B36" s="30" t="s">
        <v>1177</v>
      </c>
      <c r="C36" s="30" t="s">
        <v>974</v>
      </c>
    </row>
    <row r="37" spans="1:3" x14ac:dyDescent="0.35">
      <c r="A37" s="7">
        <v>34</v>
      </c>
      <c r="B37" s="30" t="s">
        <v>1178</v>
      </c>
      <c r="C37" s="30" t="s">
        <v>976</v>
      </c>
    </row>
    <row r="38" spans="1:3" x14ac:dyDescent="0.35">
      <c r="A38" s="7">
        <v>35</v>
      </c>
      <c r="B38" s="30" t="s">
        <v>1179</v>
      </c>
      <c r="C38" s="30" t="s">
        <v>978</v>
      </c>
    </row>
    <row r="39" spans="1:3" x14ac:dyDescent="0.35">
      <c r="A39" s="7">
        <v>36</v>
      </c>
      <c r="B39" s="30" t="s">
        <v>1180</v>
      </c>
      <c r="C39" s="30" t="s">
        <v>980</v>
      </c>
    </row>
    <row r="40" spans="1:3" x14ac:dyDescent="0.35">
      <c r="A40" s="7">
        <v>37</v>
      </c>
      <c r="B40" s="30" t="s">
        <v>1181</v>
      </c>
      <c r="C40" s="30" t="s">
        <v>982</v>
      </c>
    </row>
    <row r="41" spans="1:3" x14ac:dyDescent="0.35">
      <c r="A41" s="7">
        <v>38</v>
      </c>
      <c r="B41" s="30" t="s">
        <v>1182</v>
      </c>
      <c r="C41" s="30" t="s">
        <v>984</v>
      </c>
    </row>
    <row r="42" spans="1:3" x14ac:dyDescent="0.35">
      <c r="A42" s="7">
        <v>39</v>
      </c>
      <c r="B42" s="30" t="s">
        <v>1183</v>
      </c>
      <c r="C42" s="30" t="s">
        <v>986</v>
      </c>
    </row>
    <row r="43" spans="1:3" x14ac:dyDescent="0.35">
      <c r="A43" s="7">
        <v>40</v>
      </c>
      <c r="B43" s="30" t="s">
        <v>1184</v>
      </c>
      <c r="C43" s="30" t="s">
        <v>988</v>
      </c>
    </row>
    <row r="44" spans="1:3" x14ac:dyDescent="0.35">
      <c r="A44" s="7">
        <v>41</v>
      </c>
      <c r="B44" s="30" t="s">
        <v>1185</v>
      </c>
      <c r="C44" s="30" t="s">
        <v>990</v>
      </c>
    </row>
    <row r="45" spans="1:3" x14ac:dyDescent="0.35">
      <c r="A45" s="7">
        <v>42</v>
      </c>
      <c r="B45" s="30" t="s">
        <v>1186</v>
      </c>
      <c r="C45" s="30" t="s">
        <v>992</v>
      </c>
    </row>
    <row r="46" spans="1:3" x14ac:dyDescent="0.35">
      <c r="A46" s="7">
        <v>43</v>
      </c>
      <c r="B46" s="30" t="s">
        <v>1187</v>
      </c>
      <c r="C46" s="30" t="s">
        <v>994</v>
      </c>
    </row>
    <row r="47" spans="1:3" x14ac:dyDescent="0.35">
      <c r="A47" s="7">
        <v>44</v>
      </c>
      <c r="B47" s="30" t="s">
        <v>1188</v>
      </c>
      <c r="C47" s="30" t="s">
        <v>996</v>
      </c>
    </row>
    <row r="48" spans="1:3" x14ac:dyDescent="0.35">
      <c r="A48" s="7">
        <v>45</v>
      </c>
      <c r="B48" s="30" t="s">
        <v>1189</v>
      </c>
      <c r="C48" s="30" t="s">
        <v>998</v>
      </c>
    </row>
    <row r="49" spans="1:3" x14ac:dyDescent="0.35">
      <c r="A49" s="7">
        <v>46</v>
      </c>
      <c r="B49" s="30" t="s">
        <v>1190</v>
      </c>
      <c r="C49" s="30" t="s">
        <v>1000</v>
      </c>
    </row>
    <row r="50" spans="1:3" x14ac:dyDescent="0.35">
      <c r="A50" s="7">
        <v>47</v>
      </c>
      <c r="B50" s="30" t="s">
        <v>1191</v>
      </c>
      <c r="C50" s="30" t="s">
        <v>1002</v>
      </c>
    </row>
    <row r="51" spans="1:3" x14ac:dyDescent="0.35">
      <c r="A51" s="7">
        <v>48</v>
      </c>
      <c r="B51" s="30" t="s">
        <v>1192</v>
      </c>
      <c r="C51" s="30" t="s">
        <v>1004</v>
      </c>
    </row>
    <row r="52" spans="1:3" x14ac:dyDescent="0.35">
      <c r="A52" s="7">
        <v>49</v>
      </c>
      <c r="B52" s="30" t="s">
        <v>1193</v>
      </c>
      <c r="C52" s="30" t="s">
        <v>1006</v>
      </c>
    </row>
    <row r="53" spans="1:3" x14ac:dyDescent="0.35">
      <c r="A53" s="7">
        <v>50</v>
      </c>
      <c r="B53" s="30" t="s">
        <v>1194</v>
      </c>
      <c r="C53" s="30" t="s">
        <v>1008</v>
      </c>
    </row>
    <row r="54" spans="1:3" x14ac:dyDescent="0.35">
      <c r="A54" s="7">
        <v>51</v>
      </c>
      <c r="B54" s="30" t="s">
        <v>1195</v>
      </c>
      <c r="C54" s="30" t="s">
        <v>1010</v>
      </c>
    </row>
    <row r="55" spans="1:3" x14ac:dyDescent="0.35">
      <c r="A55" s="7">
        <v>52</v>
      </c>
      <c r="B55" s="30" t="s">
        <v>1196</v>
      </c>
      <c r="C55" s="30" t="s">
        <v>1012</v>
      </c>
    </row>
    <row r="56" spans="1:3" x14ac:dyDescent="0.35">
      <c r="A56" s="7">
        <v>53</v>
      </c>
      <c r="B56" s="30" t="s">
        <v>1197</v>
      </c>
      <c r="C56" s="30" t="s">
        <v>1014</v>
      </c>
    </row>
    <row r="57" spans="1:3" x14ac:dyDescent="0.35">
      <c r="A57" s="7">
        <v>54</v>
      </c>
      <c r="B57" s="30" t="s">
        <v>1198</v>
      </c>
      <c r="C57" s="30" t="s">
        <v>1016</v>
      </c>
    </row>
    <row r="58" spans="1:3" x14ac:dyDescent="0.35">
      <c r="A58" s="7">
        <v>55</v>
      </c>
      <c r="B58" s="30" t="s">
        <v>1199</v>
      </c>
      <c r="C58" s="30" t="s">
        <v>1018</v>
      </c>
    </row>
    <row r="59" spans="1:3" x14ac:dyDescent="0.35">
      <c r="A59" s="7">
        <v>56</v>
      </c>
      <c r="B59" s="30" t="s">
        <v>1200</v>
      </c>
      <c r="C59" s="30" t="s">
        <v>1020</v>
      </c>
    </row>
    <row r="60" spans="1:3" x14ac:dyDescent="0.35">
      <c r="A60" s="7">
        <v>57</v>
      </c>
      <c r="B60" s="30" t="s">
        <v>1201</v>
      </c>
      <c r="C60" s="30" t="s">
        <v>1022</v>
      </c>
    </row>
    <row r="61" spans="1:3" x14ac:dyDescent="0.35">
      <c r="A61" s="7">
        <v>58</v>
      </c>
      <c r="B61" s="30" t="s">
        <v>1202</v>
      </c>
      <c r="C61" s="30" t="s">
        <v>1024</v>
      </c>
    </row>
    <row r="62" spans="1:3" x14ac:dyDescent="0.35">
      <c r="A62" s="7">
        <v>59</v>
      </c>
      <c r="B62" s="30" t="s">
        <v>1203</v>
      </c>
      <c r="C62" s="30" t="s">
        <v>1026</v>
      </c>
    </row>
    <row r="63" spans="1:3" x14ac:dyDescent="0.35">
      <c r="A63" s="7">
        <v>60</v>
      </c>
      <c r="B63" s="30" t="s">
        <v>1204</v>
      </c>
      <c r="C63" s="30" t="s">
        <v>1028</v>
      </c>
    </row>
    <row r="64" spans="1:3" x14ac:dyDescent="0.35">
      <c r="A64" s="7">
        <v>61</v>
      </c>
      <c r="B64" s="30" t="s">
        <v>1205</v>
      </c>
      <c r="C64" s="30" t="s">
        <v>1030</v>
      </c>
    </row>
    <row r="65" spans="1:3" x14ac:dyDescent="0.35">
      <c r="A65" s="7">
        <v>62</v>
      </c>
      <c r="B65" s="30" t="s">
        <v>1206</v>
      </c>
      <c r="C65" s="30" t="s">
        <v>1032</v>
      </c>
    </row>
    <row r="66" spans="1:3" x14ac:dyDescent="0.35">
      <c r="A66" s="7">
        <v>63</v>
      </c>
      <c r="B66" s="30" t="s">
        <v>1207</v>
      </c>
      <c r="C66" s="30" t="s">
        <v>1034</v>
      </c>
    </row>
    <row r="67" spans="1:3" x14ac:dyDescent="0.35">
      <c r="A67" s="7">
        <v>64</v>
      </c>
      <c r="B67" s="30" t="s">
        <v>1208</v>
      </c>
      <c r="C67" s="30" t="s">
        <v>1036</v>
      </c>
    </row>
    <row r="68" spans="1:3" x14ac:dyDescent="0.35">
      <c r="A68" s="7">
        <v>65</v>
      </c>
      <c r="B68" s="30" t="s">
        <v>1209</v>
      </c>
      <c r="C68" s="30" t="s">
        <v>1038</v>
      </c>
    </row>
    <row r="69" spans="1:3" x14ac:dyDescent="0.35">
      <c r="A69" s="7">
        <v>66</v>
      </c>
      <c r="B69" s="30" t="s">
        <v>1210</v>
      </c>
      <c r="C69" s="30" t="s">
        <v>1040</v>
      </c>
    </row>
    <row r="70" spans="1:3" x14ac:dyDescent="0.35">
      <c r="A70" s="7">
        <v>67</v>
      </c>
      <c r="B70" s="30" t="s">
        <v>1211</v>
      </c>
      <c r="C70" s="30" t="s">
        <v>1042</v>
      </c>
    </row>
    <row r="71" spans="1:3" x14ac:dyDescent="0.35">
      <c r="A71" s="7">
        <v>68</v>
      </c>
      <c r="B71" s="30" t="s">
        <v>1212</v>
      </c>
      <c r="C71" s="30" t="s">
        <v>1044</v>
      </c>
    </row>
    <row r="72" spans="1:3" x14ac:dyDescent="0.35">
      <c r="A72" s="7">
        <v>69</v>
      </c>
      <c r="B72" s="30" t="s">
        <v>1213</v>
      </c>
      <c r="C72" s="30" t="s">
        <v>1046</v>
      </c>
    </row>
    <row r="73" spans="1:3" x14ac:dyDescent="0.35">
      <c r="A73" s="7">
        <v>70</v>
      </c>
      <c r="B73" s="30" t="s">
        <v>1214</v>
      </c>
      <c r="C73" s="30" t="s">
        <v>1048</v>
      </c>
    </row>
    <row r="74" spans="1:3" x14ac:dyDescent="0.35">
      <c r="A74" s="7">
        <v>71</v>
      </c>
      <c r="B74" s="30" t="s">
        <v>1215</v>
      </c>
      <c r="C74" s="30" t="s">
        <v>1050</v>
      </c>
    </row>
    <row r="75" spans="1:3" x14ac:dyDescent="0.35">
      <c r="A75" s="7">
        <v>72</v>
      </c>
      <c r="B75" s="30" t="s">
        <v>1216</v>
      </c>
      <c r="C75" s="30" t="s">
        <v>1052</v>
      </c>
    </row>
    <row r="76" spans="1:3" x14ac:dyDescent="0.35">
      <c r="A76" s="7">
        <v>73</v>
      </c>
      <c r="B76" s="30" t="s">
        <v>1217</v>
      </c>
      <c r="C76" s="30" t="s">
        <v>1054</v>
      </c>
    </row>
    <row r="77" spans="1:3" x14ac:dyDescent="0.35">
      <c r="A77" s="7">
        <v>74</v>
      </c>
      <c r="B77" s="30" t="s">
        <v>1218</v>
      </c>
      <c r="C77" s="30" t="s">
        <v>1056</v>
      </c>
    </row>
    <row r="78" spans="1:3" x14ac:dyDescent="0.35">
      <c r="A78" s="7">
        <v>75</v>
      </c>
      <c r="B78" s="30" t="s">
        <v>1219</v>
      </c>
      <c r="C78" s="30" t="s">
        <v>1058</v>
      </c>
    </row>
    <row r="79" spans="1:3" x14ac:dyDescent="0.35">
      <c r="A79" s="7">
        <v>76</v>
      </c>
      <c r="B79" s="30" t="s">
        <v>1220</v>
      </c>
      <c r="C79" s="30" t="s">
        <v>1060</v>
      </c>
    </row>
    <row r="80" spans="1:3" x14ac:dyDescent="0.35">
      <c r="A80" s="7">
        <v>77</v>
      </c>
      <c r="B80" s="30" t="s">
        <v>1221</v>
      </c>
      <c r="C80" s="30" t="s">
        <v>1062</v>
      </c>
    </row>
    <row r="81" spans="1:3" ht="15" thickBot="1" x14ac:dyDescent="0.4">
      <c r="A81" s="10">
        <v>78</v>
      </c>
      <c r="B81" s="32" t="s">
        <v>1222</v>
      </c>
      <c r="C81" s="32" t="s">
        <v>1064</v>
      </c>
    </row>
  </sheetData>
  <mergeCells count="1">
    <mergeCell ref="A1: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52</vt:i4>
      </vt:variant>
    </vt:vector>
  </HeadingPairs>
  <TitlesOfParts>
    <vt:vector size="52" baseType="lpstr">
      <vt:lpstr>Mision</vt:lpstr>
      <vt:lpstr>Sendero Natal</vt:lpstr>
      <vt:lpstr>Animal Espiritual 1</vt:lpstr>
      <vt:lpstr>Animal Espiritual 2</vt:lpstr>
      <vt:lpstr>Dia de Nacimiento</vt:lpstr>
      <vt:lpstr>Primer Tarot</vt:lpstr>
      <vt:lpstr>Segundo Tarot</vt:lpstr>
      <vt:lpstr>Salud y Espiritu 1</vt:lpstr>
      <vt:lpstr>Salud y Espiritu 2</vt:lpstr>
      <vt:lpstr>Arquetipo de Amante</vt:lpstr>
      <vt:lpstr>Vincular</vt:lpstr>
      <vt:lpstr>Leccion de Vida</vt:lpstr>
      <vt:lpstr>Primer Desafio</vt:lpstr>
      <vt:lpstr>Segundo Desafio</vt:lpstr>
      <vt:lpstr>Don Divino</vt:lpstr>
      <vt:lpstr>Nro de Raiz</vt:lpstr>
      <vt:lpstr>Esencia</vt:lpstr>
      <vt:lpstr>Imagen</vt:lpstr>
      <vt:lpstr>Destino</vt:lpstr>
      <vt:lpstr>Proviene Destino</vt:lpstr>
      <vt:lpstr>Nro Letras Nombre</vt:lpstr>
      <vt:lpstr>Caracteristicas Vida</vt:lpstr>
      <vt:lpstr>Nro Hereditario</vt:lpstr>
      <vt:lpstr>Talento</vt:lpstr>
      <vt:lpstr>Estado Espiritual</vt:lpstr>
      <vt:lpstr>Desafio Intimo</vt:lpstr>
      <vt:lpstr>Desafio de Realizacion</vt:lpstr>
      <vt:lpstr>Desafio de Expresion</vt:lpstr>
      <vt:lpstr>Nro de Expresion</vt:lpstr>
      <vt:lpstr>Potencial</vt:lpstr>
      <vt:lpstr>Año Personal</vt:lpstr>
      <vt:lpstr>Digito de la Edad</vt:lpstr>
      <vt:lpstr>Primera Etapa</vt:lpstr>
      <vt:lpstr>Segunda Etapa</vt:lpstr>
      <vt:lpstr>Tercera Etapa</vt:lpstr>
      <vt:lpstr>Cuarta Etapa</vt:lpstr>
      <vt:lpstr>Enero</vt:lpstr>
      <vt:lpstr>Febrero</vt:lpstr>
      <vt:lpstr>Marzo</vt:lpstr>
      <vt:lpstr>Abril</vt:lpstr>
      <vt:lpstr>Mayo</vt:lpstr>
      <vt:lpstr>Junio</vt:lpstr>
      <vt:lpstr>Julio</vt:lpstr>
      <vt:lpstr>Agosto</vt:lpstr>
      <vt:lpstr>Septiembre</vt:lpstr>
      <vt:lpstr>Octubre</vt:lpstr>
      <vt:lpstr>Noviembre</vt:lpstr>
      <vt:lpstr>Diciembre</vt:lpstr>
      <vt:lpstr>Tarot Año</vt:lpstr>
      <vt:lpstr>Tarot 1er Cuat</vt:lpstr>
      <vt:lpstr>Tarot 2do Cuat</vt:lpstr>
      <vt:lpstr>Tarot 3er Cuat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2026-01-16T02:49:04Z</dcterms:created>
  <dcterms:modified xsi:type="dcterms:W3CDTF">2026-01-18T04:07:46Z</dcterms:modified>
</cp:coreProperties>
</file>